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showInkAnnotation="0"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Mi unidad\2. VENECIA\9. INFORMES INDIVIDUALES\"/>
    </mc:Choice>
  </mc:AlternateContent>
  <xr:revisionPtr revIDLastSave="0" documentId="13_ncr:1_{6D0964FD-DDF9-4E62-8FB9-D51F23AD8C17}" xr6:coauthVersionLast="47" xr6:coauthVersionMax="47" xr10:uidLastSave="{00000000-0000-0000-0000-000000000000}"/>
  <bookViews>
    <workbookView xWindow="-120" yWindow="-120" windowWidth="29040" windowHeight="15720" xr2:uid="{ADCDA576-D3F4-4A76-9FA4-772BB9FC608D}"/>
  </bookViews>
  <sheets>
    <sheet name="GLOBAL" sheetId="4" r:id="rId1"/>
    <sheet name="INFORME 1" sheetId="1" r:id="rId2"/>
    <sheet name="INFORME 2" sheetId="2" r:id="rId3"/>
    <sheet name="COORDINACION" sheetId="3" r:id="rId4"/>
    <sheet name="LEYENDAS DE DATOS" sheetId="5" r:id="rId5"/>
  </sheets>
  <definedNames>
    <definedName name="_xlpm.c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9" i="4" l="1"/>
  <c r="G40" i="3"/>
  <c r="F40" i="3"/>
  <c r="E40" i="3"/>
  <c r="D40" i="3"/>
  <c r="G40" i="2"/>
  <c r="F40" i="2"/>
  <c r="E40" i="2"/>
  <c r="D40" i="2"/>
  <c r="G40" i="1"/>
  <c r="F40" i="1"/>
  <c r="E40" i="1"/>
  <c r="D40" i="1"/>
  <c r="B8" i="4"/>
  <c r="B7" i="4"/>
  <c r="F42" i="4"/>
  <c r="B14" i="4" l="1"/>
  <c r="V3" i="4" s="1"/>
  <c r="B12" i="3"/>
  <c r="B12" i="2"/>
  <c r="K42" i="1"/>
  <c r="K35" i="1"/>
  <c r="K29" i="1"/>
  <c r="K19" i="1"/>
  <c r="K10" i="1"/>
  <c r="R3" i="3"/>
  <c r="Q3" i="3"/>
  <c r="P3" i="3"/>
  <c r="O3" i="3"/>
  <c r="N3" i="3"/>
  <c r="M3" i="3"/>
  <c r="R3" i="2"/>
  <c r="Q3" i="2"/>
  <c r="P3" i="2"/>
  <c r="O3" i="2"/>
  <c r="N3" i="2"/>
  <c r="M3" i="2"/>
  <c r="R3" i="1"/>
  <c r="Q3" i="1"/>
  <c r="P3" i="1"/>
  <c r="O3" i="1"/>
  <c r="N3" i="1"/>
  <c r="M3" i="1"/>
  <c r="B19" i="4"/>
  <c r="B5" i="4"/>
  <c r="B4" i="4"/>
  <c r="B3" i="4"/>
  <c r="B10" i="4"/>
  <c r="B17" i="4"/>
  <c r="Y3" i="4" s="1"/>
  <c r="X3" i="3"/>
  <c r="W3" i="3"/>
  <c r="V3" i="3"/>
  <c r="U3" i="3"/>
  <c r="X3" i="2"/>
  <c r="W3" i="2"/>
  <c r="V3" i="2"/>
  <c r="U3" i="2"/>
  <c r="X3" i="1"/>
  <c r="W3" i="1"/>
  <c r="V3" i="1"/>
  <c r="U3" i="1"/>
  <c r="B16" i="4"/>
  <c r="X3" i="4" s="1"/>
  <c r="B15" i="4"/>
  <c r="W3" i="4" s="1"/>
  <c r="L41" i="4"/>
  <c r="L40" i="4"/>
  <c r="L39" i="4"/>
  <c r="L38" i="4"/>
  <c r="L34" i="4"/>
  <c r="L33" i="4"/>
  <c r="L32" i="4"/>
  <c r="L28" i="4"/>
  <c r="L27" i="4"/>
  <c r="L26" i="4"/>
  <c r="L25" i="4"/>
  <c r="L24" i="4"/>
  <c r="L23" i="4"/>
  <c r="L22" i="4"/>
  <c r="L18" i="4"/>
  <c r="L17" i="4"/>
  <c r="L16" i="4"/>
  <c r="L15" i="4"/>
  <c r="L14" i="4"/>
  <c r="L13" i="4"/>
  <c r="L9" i="4"/>
  <c r="L8" i="4"/>
  <c r="L7" i="4"/>
  <c r="L6" i="4"/>
  <c r="L5" i="4"/>
  <c r="L4" i="4"/>
  <c r="L3" i="4"/>
  <c r="L2" i="4"/>
  <c r="B14" i="1" l="1"/>
  <c r="Q3" i="4"/>
  <c r="P3" i="4"/>
  <c r="O3" i="4"/>
  <c r="N3" i="4"/>
  <c r="N6" i="4"/>
  <c r="R3" i="4"/>
  <c r="K42" i="3"/>
  <c r="K35" i="3"/>
  <c r="K29" i="3"/>
  <c r="K19" i="3"/>
  <c r="K10" i="3"/>
  <c r="K42" i="2"/>
  <c r="K35" i="2"/>
  <c r="K29" i="2"/>
  <c r="K19" i="2"/>
  <c r="K10" i="2"/>
  <c r="S3" i="4"/>
  <c r="L42" i="4"/>
  <c r="L35" i="4"/>
  <c r="L29" i="4"/>
  <c r="L19" i="4"/>
  <c r="L10" i="4"/>
  <c r="B12" i="4" l="1"/>
  <c r="S3" i="3" s="1"/>
  <c r="S3" i="1"/>
  <c r="S3" i="2" l="1"/>
  <c r="T3" i="4"/>
</calcChain>
</file>

<file path=xl/sharedStrings.xml><?xml version="1.0" encoding="utf-8"?>
<sst xmlns="http://schemas.openxmlformats.org/spreadsheetml/2006/main" count="420" uniqueCount="117">
  <si>
    <t>Valoración ténica</t>
  </si>
  <si>
    <t>Cobertura de balón</t>
  </si>
  <si>
    <t>Conducción</t>
  </si>
  <si>
    <t>Control</t>
  </si>
  <si>
    <t>Regate</t>
  </si>
  <si>
    <t>Disparo</t>
  </si>
  <si>
    <t>Pase</t>
  </si>
  <si>
    <t>Remate de cabeza</t>
  </si>
  <si>
    <t>Anticipación</t>
  </si>
  <si>
    <t>Valoración táctica</t>
  </si>
  <si>
    <t>Transición ataque-defensa</t>
  </si>
  <si>
    <t>Movimientos sin balón</t>
  </si>
  <si>
    <t>Ayudas defensivas</t>
  </si>
  <si>
    <t>Ayudas ofensivas</t>
  </si>
  <si>
    <t>Desmarques</t>
  </si>
  <si>
    <t>Marcajes</t>
  </si>
  <si>
    <t>Valoración física</t>
  </si>
  <si>
    <t>Capacidad de sacrificio</t>
  </si>
  <si>
    <t>Velocidad punta</t>
  </si>
  <si>
    <t>Velocidad de reacción</t>
  </si>
  <si>
    <t>Fuerza</t>
  </si>
  <si>
    <t>Potencia</t>
  </si>
  <si>
    <t>Resistencia</t>
  </si>
  <si>
    <t>Coordinación</t>
  </si>
  <si>
    <t>Valoración psicológica</t>
  </si>
  <si>
    <t>Concentración</t>
  </si>
  <si>
    <t>Control emocional</t>
  </si>
  <si>
    <t>Reacción errores arbitrales</t>
  </si>
  <si>
    <t>Personalidad</t>
  </si>
  <si>
    <t>Liderazgo</t>
  </si>
  <si>
    <t>Disciplina</t>
  </si>
  <si>
    <t>Reacción a correcciones del compañero</t>
  </si>
  <si>
    <t>Reacción a correcciones de los técnicos</t>
  </si>
  <si>
    <t>NOTA</t>
  </si>
  <si>
    <t>Total</t>
  </si>
  <si>
    <t>DATOS PERSONALES</t>
  </si>
  <si>
    <t>NOMBRE</t>
  </si>
  <si>
    <t>DATOS PARTIDO</t>
  </si>
  <si>
    <t>FECHA</t>
  </si>
  <si>
    <t>LOCAL</t>
  </si>
  <si>
    <t>VISITANTE</t>
  </si>
  <si>
    <t>APELLIDOS</t>
  </si>
  <si>
    <t>FECHA NAC.</t>
  </si>
  <si>
    <t>CLUB</t>
  </si>
  <si>
    <t>EQUIPO</t>
  </si>
  <si>
    <t>LATERALIDAD</t>
  </si>
  <si>
    <t>VALORACION</t>
  </si>
  <si>
    <t>CONTACTO</t>
  </si>
  <si>
    <t>POS 1</t>
  </si>
  <si>
    <t>POS 2</t>
  </si>
  <si>
    <t>POS 3</t>
  </si>
  <si>
    <t>POS 4</t>
  </si>
  <si>
    <t>CLUB JUGADOR</t>
  </si>
  <si>
    <t>EQUIPO JUGADOR</t>
  </si>
  <si>
    <t xml:space="preserve">AÑO </t>
  </si>
  <si>
    <t>POS1</t>
  </si>
  <si>
    <t>POS2</t>
  </si>
  <si>
    <t>POS3</t>
  </si>
  <si>
    <t>POS4</t>
  </si>
  <si>
    <t>DATOS GENERALES</t>
  </si>
  <si>
    <t>Cobertura de balón / Saque de mano</t>
  </si>
  <si>
    <t>Conducción / Saque de volea</t>
  </si>
  <si>
    <t>Control / Juego con los pies</t>
  </si>
  <si>
    <t>Regate / Blocajes</t>
  </si>
  <si>
    <t>Disparo / Despejes</t>
  </si>
  <si>
    <t>Transición at-def / Pos. general</t>
  </si>
  <si>
    <t>Ayudas defensivas / Polivalencia</t>
  </si>
  <si>
    <t>Ayudas ofensivas / Visión de juego</t>
  </si>
  <si>
    <t>Resistencia / Salto</t>
  </si>
  <si>
    <t>Velocidad punta / Reflejos</t>
  </si>
  <si>
    <t>PERFIL FISICO</t>
  </si>
  <si>
    <t>ACTUALIZADO</t>
  </si>
  <si>
    <t>Última edición: 08-01-2026</t>
  </si>
  <si>
    <t>POR</t>
  </si>
  <si>
    <t>DEL</t>
  </si>
  <si>
    <t>AUTOR INFORME</t>
  </si>
  <si>
    <t>DEF</t>
  </si>
  <si>
    <t>LEYENDA</t>
  </si>
  <si>
    <t>PORTERO</t>
  </si>
  <si>
    <t>LATERAL DERECHO</t>
  </si>
  <si>
    <t>CENTRAL</t>
  </si>
  <si>
    <t>MEDIOCENTRO</t>
  </si>
  <si>
    <t>INTERIOR IZQ</t>
  </si>
  <si>
    <t>MEDIAPUNTA</t>
  </si>
  <si>
    <t>EXTREMO DER</t>
  </si>
  <si>
    <t>EXTREMO IZQ</t>
  </si>
  <si>
    <t>DELANTERO</t>
  </si>
  <si>
    <t>LD</t>
  </si>
  <si>
    <t>LI</t>
  </si>
  <si>
    <t>MC</t>
  </si>
  <si>
    <t>ID</t>
  </si>
  <si>
    <t>II</t>
  </si>
  <si>
    <t>MP</t>
  </si>
  <si>
    <t>ED</t>
  </si>
  <si>
    <t>EI</t>
  </si>
  <si>
    <t>LATERAL IZQ</t>
  </si>
  <si>
    <t>INTERIOR DER</t>
  </si>
  <si>
    <t>RECOMENDACIÓN</t>
  </si>
  <si>
    <t>Columna1</t>
  </si>
  <si>
    <t>FIABILIDAD INFORME</t>
  </si>
  <si>
    <t>SIN DEFINIR</t>
  </si>
  <si>
    <t>COMENTARIOS</t>
  </si>
  <si>
    <t xml:space="preserve">COMENTARIOS </t>
  </si>
  <si>
    <t>POSICIONES</t>
  </si>
  <si>
    <t>LATERAL IZQUIERDO</t>
  </si>
  <si>
    <t>INTERIOR DERECHO</t>
  </si>
  <si>
    <t>INTERIOR IZQUIERDO</t>
  </si>
  <si>
    <t>EXTREMO DERECHO</t>
  </si>
  <si>
    <t>EXTREMO IZQUIERDO</t>
  </si>
  <si>
    <t>DIESTRO</t>
  </si>
  <si>
    <t>ZURDO</t>
  </si>
  <si>
    <t>AMBIDIESTRO</t>
  </si>
  <si>
    <t>D</t>
  </si>
  <si>
    <t>Z</t>
  </si>
  <si>
    <t>AD</t>
  </si>
  <si>
    <t>POSICION</t>
  </si>
  <si>
    <t>ABREVIATURA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</si>
</sst>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1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Protection="1">
      <protection locked="0"/>
    </xf>
    <xf numFmtId="2" fontId="0" fillId="0" borderId="0" xfId="0" applyNumberFormat="1" applyProtection="1"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49" fontId="0" fillId="0" borderId="7" xfId="0" applyNumberFormat="1" applyBorder="1" applyAlignment="1" applyProtection="1">
      <alignment horizontal="center"/>
      <protection locked="0"/>
    </xf>
    <xf numFmtId="49" fontId="0" fillId="0" borderId="9" xfId="0" applyNumberForma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2" fontId="0" fillId="0" borderId="3" xfId="0" applyNumberFormat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1" fillId="2" borderId="4" xfId="0" applyFont="1" applyFill="1" applyBorder="1"/>
    <xf numFmtId="0" fontId="1" fillId="2" borderId="6" xfId="0" applyFont="1" applyFill="1" applyBorder="1"/>
    <xf numFmtId="0" fontId="1" fillId="2" borderId="8" xfId="0" applyFont="1" applyFill="1" applyBorder="1"/>
    <xf numFmtId="0" fontId="1" fillId="0" borderId="0" xfId="0" applyFont="1"/>
    <xf numFmtId="0" fontId="1" fillId="2" borderId="2" xfId="0" applyFont="1" applyFill="1" applyBorder="1"/>
    <xf numFmtId="14" fontId="0" fillId="0" borderId="5" xfId="0" applyNumberFormat="1" applyBorder="1" applyAlignment="1" applyProtection="1">
      <alignment horizontal="center"/>
      <protection locked="0"/>
    </xf>
    <xf numFmtId="0" fontId="2" fillId="0" borderId="0" xfId="0" applyFont="1"/>
    <xf numFmtId="2" fontId="0" fillId="0" borderId="0" xfId="0" applyNumberFormat="1" applyAlignment="1" applyProtection="1">
      <alignment horizontal="center"/>
      <protection locked="0"/>
    </xf>
    <xf numFmtId="22" fontId="2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2" fontId="0" fillId="0" borderId="0" xfId="0" applyNumberFormat="1"/>
    <xf numFmtId="49" fontId="0" fillId="0" borderId="0" xfId="0" applyNumberFormat="1"/>
    <xf numFmtId="0" fontId="0" fillId="3" borderId="0" xfId="0" applyFill="1" applyProtection="1">
      <protection locked="0"/>
    </xf>
    <xf numFmtId="0" fontId="4" fillId="0" borderId="0" xfId="0" applyFont="1" applyProtection="1">
      <protection locked="0"/>
    </xf>
    <xf numFmtId="2" fontId="0" fillId="0" borderId="0" xfId="0" applyNumberFormat="1" applyAlignment="1">
      <alignment horizontal="center"/>
    </xf>
    <xf numFmtId="0" fontId="2" fillId="2" borderId="12" xfId="0" applyFont="1" applyFill="1" applyBorder="1"/>
    <xf numFmtId="0" fontId="0" fillId="0" borderId="13" xfId="0" applyBorder="1" applyAlignment="1">
      <alignment horizontal="center"/>
    </xf>
    <xf numFmtId="0" fontId="2" fillId="2" borderId="14" xfId="0" applyFont="1" applyFill="1" applyBorder="1"/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2" borderId="2" xfId="0" applyFont="1" applyFill="1" applyBorder="1" applyProtection="1">
      <protection locked="0"/>
    </xf>
    <xf numFmtId="164" fontId="0" fillId="0" borderId="3" xfId="0" applyNumberFormat="1" applyBorder="1" applyAlignment="1" applyProtection="1">
      <alignment horizontal="center"/>
      <protection locked="0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left" vertical="top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0" xfId="0" applyFont="1" applyFill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0" xfId="0" applyFill="1" applyProtection="1">
      <protection locked="0"/>
    </xf>
    <xf numFmtId="0" fontId="0" fillId="0" borderId="3" xfId="0" applyFill="1" applyBorder="1" applyAlignment="1">
      <alignment horizontal="center"/>
    </xf>
    <xf numFmtId="0" fontId="0" fillId="0" borderId="3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208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/>
      </font>
      <fill>
        <patternFill>
          <bgColor rgb="FF00B0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/>
      </font>
      <fill>
        <patternFill>
          <bgColor rgb="FF00B0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/>
      </font>
      <fill>
        <patternFill>
          <bgColor rgb="FF00B0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2060"/>
      </font>
      <fill>
        <patternFill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/>
      </font>
      <fill>
        <patternFill>
          <bgColor rgb="FF00B0F0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numFmt numFmtId="2" formatCode="0.00"/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2" formatCode="0.00"/>
      <protection locked="1" hidden="0"/>
    </dxf>
    <dxf>
      <numFmt numFmtId="2" formatCode="0.00"/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numFmt numFmtId="2" formatCode="0.00"/>
      <protection locked="1" hidden="0"/>
    </dxf>
    <dxf>
      <numFmt numFmtId="2" formatCode="0.00"/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numFmt numFmtId="2" formatCode="0.00"/>
      <protection locked="1" hidden="0"/>
    </dxf>
    <dxf>
      <numFmt numFmtId="2" formatCode="0.00"/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numFmt numFmtId="2" formatCode="0.00"/>
      <protection locked="1" hidden="0"/>
    </dxf>
    <dxf>
      <numFmt numFmtId="2" formatCode="0.00"/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numFmt numFmtId="2" formatCode="0.00"/>
      <protection locked="1" hidden="0"/>
    </dxf>
    <dxf>
      <numFmt numFmtId="2" formatCode="0.00"/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2" formatCode="0.00"/>
      <protection locked="1" hidden="0"/>
    </dxf>
    <dxf>
      <numFmt numFmtId="2" formatCode="0.00"/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numFmt numFmtId="2" formatCode="0.00"/>
      <protection locked="1" hidden="0"/>
    </dxf>
    <dxf>
      <numFmt numFmtId="2" formatCode="0.00"/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numFmt numFmtId="2" formatCode="0.00"/>
      <protection locked="1" hidden="0"/>
    </dxf>
    <dxf>
      <numFmt numFmtId="2" formatCode="0.00"/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numFmt numFmtId="2" formatCode="0.00"/>
      <protection locked="1" hidden="0"/>
    </dxf>
    <dxf>
      <numFmt numFmtId="2" formatCode="0.00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numFmt numFmtId="2" formatCode="0.00"/>
      <protection locked="1" hidden="0"/>
    </dxf>
    <dxf>
      <numFmt numFmtId="2" formatCode="0.00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2" formatCode="0.00"/>
    </dxf>
    <dxf>
      <numFmt numFmtId="2" formatCode="0.00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numFmt numFmtId="2" formatCode="0.00"/>
    </dxf>
    <dxf>
      <numFmt numFmtId="2" formatCode="0.00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numFmt numFmtId="2" formatCode="0.00"/>
    </dxf>
    <dxf>
      <numFmt numFmtId="2" formatCode="0.00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numFmt numFmtId="2" formatCode="0.00"/>
    </dxf>
    <dxf>
      <numFmt numFmtId="2" formatCode="0.00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numFmt numFmtId="2" formatCode="0.00"/>
    </dxf>
    <dxf>
      <numFmt numFmtId="2" formatCode="0.00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numFmt numFmtId="2" formatCode="0.00"/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2" formatCode="0.00"/>
      <protection locked="1" hidden="0"/>
    </dxf>
    <dxf>
      <numFmt numFmtId="2" formatCode="0.0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2" formatCode="0.00"/>
      <protection locked="1" hidden="0"/>
    </dxf>
    <dxf>
      <numFmt numFmtId="2" formatCode="0.0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2" formatCode="0.00"/>
      <protection locked="1" hidden="0"/>
    </dxf>
    <dxf>
      <numFmt numFmtId="2" formatCode="0.0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2" formatCode="0.00"/>
      <protection locked="1" hidden="0"/>
    </dxf>
    <dxf>
      <numFmt numFmtId="2" formatCode="0.0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2" formatCode="0.00"/>
      <protection locked="1" hidden="0"/>
    </dxf>
    <dxf>
      <numFmt numFmtId="2" formatCode="0.0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('INFORME 1'!$J$1,'INFORME 1'!$J$12,'INFORME 1'!$J$21,'INFORME 1'!$J$31,'INFORME 1'!$J$37)</c:f>
              <c:strCache>
                <c:ptCount val="5"/>
                <c:pt idx="0">
                  <c:v>Valoración ténica</c:v>
                </c:pt>
                <c:pt idx="1">
                  <c:v>Valoración táctica</c:v>
                </c:pt>
                <c:pt idx="2">
                  <c:v>Valoración física</c:v>
                </c:pt>
                <c:pt idx="3">
                  <c:v>Valoración psicológica</c:v>
                </c:pt>
                <c:pt idx="4">
                  <c:v>Personalidad</c:v>
                </c:pt>
              </c:strCache>
            </c:strRef>
          </c:cat>
          <c:val>
            <c:numRef>
              <c:f>(GLOBAL!$L$10,GLOBAL!$L$19,GLOBAL!$L$29,GLOBAL!$L$35,GLOBAL!$L$42)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BD-48BB-995C-02C75C31D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708399"/>
        <c:axId val="2049709359"/>
      </c:radarChart>
      <c:catAx>
        <c:axId val="2049708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49709359"/>
        <c:crosses val="autoZero"/>
        <c:auto val="1"/>
        <c:lblAlgn val="ctr"/>
        <c:lblOffset val="100"/>
        <c:noMultiLvlLbl val="0"/>
      </c:catAx>
      <c:valAx>
        <c:axId val="2049709359"/>
        <c:scaling>
          <c:orientation val="minMax"/>
          <c:max val="1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49708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('INFORME 1'!$J$1,'INFORME 1'!$J$12,'INFORME 1'!$J$21,'INFORME 1'!$J$31,'INFORME 1'!$J$37)</c:f>
              <c:strCache>
                <c:ptCount val="5"/>
                <c:pt idx="0">
                  <c:v>Valoración ténica</c:v>
                </c:pt>
                <c:pt idx="1">
                  <c:v>Valoración táctica</c:v>
                </c:pt>
                <c:pt idx="2">
                  <c:v>Valoración física</c:v>
                </c:pt>
                <c:pt idx="3">
                  <c:v>Valoración psicológica</c:v>
                </c:pt>
                <c:pt idx="4">
                  <c:v>Personalidad</c:v>
                </c:pt>
              </c:strCache>
            </c:strRef>
          </c:cat>
          <c:val>
            <c:numRef>
              <c:f>('INFORME 1'!$K$10,'INFORME 1'!$K$19,'INFORME 1'!$K$29,'INFORME 1'!$K$35,'INFORME 1'!$K$42)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BB-43D3-8365-5D4EFB7FD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708399"/>
        <c:axId val="2049709359"/>
      </c:radarChart>
      <c:catAx>
        <c:axId val="2049708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49709359"/>
        <c:crosses val="autoZero"/>
        <c:auto val="1"/>
        <c:lblAlgn val="ctr"/>
        <c:lblOffset val="100"/>
        <c:noMultiLvlLbl val="0"/>
      </c:catAx>
      <c:valAx>
        <c:axId val="2049709359"/>
        <c:scaling>
          <c:orientation val="minMax"/>
          <c:max val="1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49708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('INFORME 1'!$J$1,'INFORME 1'!$J$12,'INFORME 1'!$J$21,'INFORME 1'!$J$31,'INFORME 1'!$J$37)</c:f>
              <c:strCache>
                <c:ptCount val="5"/>
                <c:pt idx="0">
                  <c:v>Valoración ténica</c:v>
                </c:pt>
                <c:pt idx="1">
                  <c:v>Valoración táctica</c:v>
                </c:pt>
                <c:pt idx="2">
                  <c:v>Valoración física</c:v>
                </c:pt>
                <c:pt idx="3">
                  <c:v>Valoración psicológica</c:v>
                </c:pt>
                <c:pt idx="4">
                  <c:v>Personalidad</c:v>
                </c:pt>
              </c:strCache>
            </c:strRef>
          </c:cat>
          <c:val>
            <c:numRef>
              <c:f>('INFORME 2'!$K$10,'INFORME 2'!$K$19,'INFORME 2'!$K$29,'INFORME 2'!$K$35,'INFORME 2'!$K$42)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5E-41AC-A87A-58B9A7A45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708399"/>
        <c:axId val="2049709359"/>
      </c:radarChart>
      <c:catAx>
        <c:axId val="2049708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49709359"/>
        <c:crosses val="autoZero"/>
        <c:auto val="1"/>
        <c:lblAlgn val="ctr"/>
        <c:lblOffset val="100"/>
        <c:noMultiLvlLbl val="0"/>
      </c:catAx>
      <c:valAx>
        <c:axId val="2049709359"/>
        <c:scaling>
          <c:orientation val="minMax"/>
          <c:max val="1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49708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('INFORME 1'!$J$1,'INFORME 1'!$J$12,'INFORME 1'!$J$21,'INFORME 1'!$J$31,'INFORME 1'!$J$37)</c:f>
              <c:strCache>
                <c:ptCount val="5"/>
                <c:pt idx="0">
                  <c:v>Valoración ténica</c:v>
                </c:pt>
                <c:pt idx="1">
                  <c:v>Valoración táctica</c:v>
                </c:pt>
                <c:pt idx="2">
                  <c:v>Valoración física</c:v>
                </c:pt>
                <c:pt idx="3">
                  <c:v>Valoración psicológica</c:v>
                </c:pt>
                <c:pt idx="4">
                  <c:v>Personalidad</c:v>
                </c:pt>
              </c:strCache>
            </c:strRef>
          </c:cat>
          <c:val>
            <c:numRef>
              <c:f>(COORDINACION!$K$10,COORDINACION!$K$19,COORDINACION!$K$29,COORDINACION!$K$35,COORDINACION!$K$42)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84-475C-9FE9-95729FF99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708399"/>
        <c:axId val="2049709359"/>
      </c:radarChart>
      <c:catAx>
        <c:axId val="2049708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49709359"/>
        <c:crosses val="autoZero"/>
        <c:auto val="1"/>
        <c:lblAlgn val="ctr"/>
        <c:lblOffset val="100"/>
        <c:noMultiLvlLbl val="0"/>
      </c:catAx>
      <c:valAx>
        <c:axId val="2049709359"/>
        <c:scaling>
          <c:orientation val="minMax"/>
          <c:max val="1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49708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168088</xdr:colOff>
      <xdr:row>5</xdr:row>
      <xdr:rowOff>0</xdr:rowOff>
    </xdr:from>
    <xdr:to>
      <xdr:col>24</xdr:col>
      <xdr:colOff>542925</xdr:colOff>
      <xdr:row>19</xdr:row>
      <xdr:rowOff>104775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732ECF9-4842-4F1D-9305-1E3FD0299FBE}"/>
            </a:ext>
          </a:extLst>
        </xdr:cNvPr>
        <xdr:cNvSpPr txBox="1"/>
      </xdr:nvSpPr>
      <xdr:spPr>
        <a:xfrm>
          <a:off x="10544735" y="974912"/>
          <a:ext cx="11166102" cy="28838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ES" sz="1100"/>
        </a:p>
      </xdr:txBody>
    </xdr:sp>
    <xdr:clientData fLocksWithSheet="0"/>
  </xdr:twoCellAnchor>
  <xdr:twoCellAnchor>
    <xdr:from>
      <xdr:col>12</xdr:col>
      <xdr:colOff>179293</xdr:colOff>
      <xdr:row>19</xdr:row>
      <xdr:rowOff>190499</xdr:rowOff>
    </xdr:from>
    <xdr:to>
      <xdr:col>24</xdr:col>
      <xdr:colOff>532279</xdr:colOff>
      <xdr:row>42</xdr:row>
      <xdr:rowOff>11206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A15931D5-058A-402F-86B8-302F8F6584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40</xdr:row>
          <xdr:rowOff>38100</xdr:rowOff>
        </xdr:from>
        <xdr:to>
          <xdr:col>2</xdr:col>
          <xdr:colOff>133350</xdr:colOff>
          <xdr:row>42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GUARDAR INFORME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</xdr:colOff>
      <xdr:row>0</xdr:row>
      <xdr:rowOff>22410</xdr:rowOff>
    </xdr:from>
    <xdr:to>
      <xdr:col>9</xdr:col>
      <xdr:colOff>22411</xdr:colOff>
      <xdr:row>37</xdr:row>
      <xdr:rowOff>67233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72C661EE-3A59-3EDC-2E9F-F52459436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5295" y="22410"/>
          <a:ext cx="4650440" cy="70933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16807</xdr:colOff>
      <xdr:row>20</xdr:row>
      <xdr:rowOff>11206</xdr:rowOff>
    </xdr:from>
    <xdr:to>
      <xdr:col>23</xdr:col>
      <xdr:colOff>549087</xdr:colOff>
      <xdr:row>41</xdr:row>
      <xdr:rowOff>168089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F868417-8557-CCE6-BCD7-85A2FC6535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168088</xdr:colOff>
      <xdr:row>0</xdr:row>
      <xdr:rowOff>22412</xdr:rowOff>
    </xdr:from>
    <xdr:to>
      <xdr:col>8</xdr:col>
      <xdr:colOff>21682</xdr:colOff>
      <xdr:row>37</xdr:row>
      <xdr:rowOff>67235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E624DDC-535D-4F4E-89A7-2BBC848EE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4088" y="22412"/>
          <a:ext cx="4627300" cy="7093323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5</xdr:row>
      <xdr:rowOff>28575</xdr:rowOff>
    </xdr:from>
    <xdr:to>
      <xdr:col>24</xdr:col>
      <xdr:colOff>0</xdr:colOff>
      <xdr:row>19</xdr:row>
      <xdr:rowOff>142875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7B818E4F-B78C-066C-1557-CADAACD8650B}"/>
            </a:ext>
          </a:extLst>
        </xdr:cNvPr>
        <xdr:cNvSpPr txBox="1"/>
      </xdr:nvSpPr>
      <xdr:spPr>
        <a:xfrm>
          <a:off x="10553700" y="1000125"/>
          <a:ext cx="9020175" cy="2867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ES" sz="1100"/>
        </a:p>
      </xdr:txBody>
    </xdr:sp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</xdr:row>
      <xdr:rowOff>0</xdr:rowOff>
    </xdr:from>
    <xdr:to>
      <xdr:col>23</xdr:col>
      <xdr:colOff>542925</xdr:colOff>
      <xdr:row>19</xdr:row>
      <xdr:rowOff>114300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947C4251-EA65-4CB6-A7C8-74D0CC99772F}"/>
            </a:ext>
          </a:extLst>
        </xdr:cNvPr>
        <xdr:cNvSpPr txBox="1"/>
      </xdr:nvSpPr>
      <xdr:spPr>
        <a:xfrm>
          <a:off x="10534650" y="971550"/>
          <a:ext cx="9020175" cy="2867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ES" sz="1100"/>
        </a:p>
      </xdr:txBody>
    </xdr:sp>
    <xdr:clientData fLocksWithSheet="0"/>
  </xdr:twoCellAnchor>
  <xdr:twoCellAnchor>
    <xdr:from>
      <xdr:col>12</xdr:col>
      <xdr:colOff>0</xdr:colOff>
      <xdr:row>20</xdr:row>
      <xdr:rowOff>11206</xdr:rowOff>
    </xdr:from>
    <xdr:to>
      <xdr:col>25</xdr:col>
      <xdr:colOff>184898</xdr:colOff>
      <xdr:row>42</xdr:row>
      <xdr:rowOff>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5A0FEDE1-D730-47F1-9D85-CE7CCC7CA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168088</xdr:colOff>
      <xdr:row>0</xdr:row>
      <xdr:rowOff>22412</xdr:rowOff>
    </xdr:from>
    <xdr:to>
      <xdr:col>8</xdr:col>
      <xdr:colOff>44094</xdr:colOff>
      <xdr:row>37</xdr:row>
      <xdr:rowOff>67235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2B320E33-FD5A-4077-8D2D-141F8C248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4088" y="22412"/>
          <a:ext cx="4604888" cy="709332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</xdr:row>
      <xdr:rowOff>0</xdr:rowOff>
    </xdr:from>
    <xdr:to>
      <xdr:col>23</xdr:col>
      <xdr:colOff>542925</xdr:colOff>
      <xdr:row>19</xdr:row>
      <xdr:rowOff>114300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8D36024E-5962-4749-A508-B7502564BCB6}"/>
            </a:ext>
          </a:extLst>
        </xdr:cNvPr>
        <xdr:cNvSpPr txBox="1"/>
      </xdr:nvSpPr>
      <xdr:spPr>
        <a:xfrm>
          <a:off x="10534650" y="971550"/>
          <a:ext cx="9020175" cy="2867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ES" sz="1100"/>
        </a:p>
      </xdr:txBody>
    </xdr:sp>
    <xdr:clientData fLocksWithSheet="0"/>
  </xdr:twoCellAnchor>
  <xdr:twoCellAnchor>
    <xdr:from>
      <xdr:col>12</xdr:col>
      <xdr:colOff>-1</xdr:colOff>
      <xdr:row>19</xdr:row>
      <xdr:rowOff>190499</xdr:rowOff>
    </xdr:from>
    <xdr:to>
      <xdr:col>25</xdr:col>
      <xdr:colOff>184897</xdr:colOff>
      <xdr:row>41</xdr:row>
      <xdr:rowOff>168087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5CA9AE81-354B-40A4-9F1C-8C1A58FBC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168088</xdr:colOff>
      <xdr:row>0</xdr:row>
      <xdr:rowOff>22412</xdr:rowOff>
    </xdr:from>
    <xdr:to>
      <xdr:col>8</xdr:col>
      <xdr:colOff>10476</xdr:colOff>
      <xdr:row>37</xdr:row>
      <xdr:rowOff>67235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ADF53189-0481-4FA0-A46A-A79CFA8480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4088" y="22412"/>
          <a:ext cx="4593682" cy="70933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37C0746-FBA3-46A2-90B6-DA0761B01987}" name="Tabla120" displayName="Tabla120" ref="K1:L10" totalsRowCount="1" headerRowDxfId="207" dataDxfId="206" totalsRowDxfId="205">
  <autoFilter ref="K1:L9" xr:uid="{837C0746-FBA3-46A2-90B6-DA0761B01987}"/>
  <tableColumns count="2">
    <tableColumn id="1" xr3:uid="{3BF992C2-55BF-4468-B389-3188D2216A48}" name="Valoración ténica" totalsRowLabel="Total" dataDxfId="204" totalsRowDxfId="203"/>
    <tableColumn id="2" xr3:uid="{82F74673-89B2-456E-9834-0D6655C199DE}" name="NOTA" totalsRowFunction="average" dataDxfId="202" totalsRowDxfId="20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33146AE-D322-470B-9374-3E94CA3E4A67}" name="Tabla221" displayName="Tabla221" ref="K12:L19" totalsRowCount="1" headerRowDxfId="200" dataDxfId="199" totalsRowDxfId="198">
  <autoFilter ref="K12:L18" xr:uid="{733146AE-D322-470B-9374-3E94CA3E4A67}"/>
  <tableColumns count="2">
    <tableColumn id="1" xr3:uid="{9B76082F-EC5A-4FDE-B13C-26A3D7EC1FA4}" name="Valoración táctica" totalsRowLabel="Total" dataDxfId="197" totalsRowDxfId="196"/>
    <tableColumn id="2" xr3:uid="{1357BC46-13E9-4521-9AF9-98182FA99388}" name="NOTA" totalsRowFunction="average" dataDxfId="195" totalsRowDxfId="194">
      <calculatedColumnFormula>IF(COUNT('INFORME 1'!K13,'INFORME 2'!K13,COORDINACION!K13)&gt;0,
AVERAGE('INFORME 1'!K13,'INFORME 2'!K13,COORDINACION!K13),
"")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F1E79E1-2AD4-4F1E-AF72-EB38B7B50AB0}" name="Tabla322" displayName="Tabla322" ref="K21:L29" totalsRowCount="1" headerRowDxfId="193" dataDxfId="192" totalsRowDxfId="191">
  <autoFilter ref="K21:L28" xr:uid="{4F1E79E1-2AD4-4F1E-AF72-EB38B7B50AB0}"/>
  <tableColumns count="2">
    <tableColumn id="1" xr3:uid="{69D7834D-1D74-4CE4-A3C2-23A7E083B36F}" name="Valoración física" totalsRowLabel="Total" dataDxfId="190" totalsRowDxfId="189"/>
    <tableColumn id="2" xr3:uid="{4F3A4EA5-A31C-4A1B-8406-9DE448F0C919}" name="NOTA" totalsRowFunction="average" dataDxfId="188" totalsRowDxfId="187">
      <calculatedColumnFormula>IF(COUNT('INFORME 1'!K22,'INFORME 2'!K22,COORDINACION!K22)&gt;0,
AVERAGE('INFORME 1'!K22,'INFORME 2'!K22,COORDINACION!K22),
"")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8DB6EBF-7243-4839-A7AE-FB346283A8DE}" name="Tabla423" displayName="Tabla423" ref="K31:L35" totalsRowCount="1" headerRowDxfId="186" dataDxfId="185" totalsRowDxfId="184">
  <autoFilter ref="K31:L34" xr:uid="{28DB6EBF-7243-4839-A7AE-FB346283A8DE}"/>
  <tableColumns count="2">
    <tableColumn id="1" xr3:uid="{51CAE463-7DA7-4C1C-85EF-CD2D6B8CCD9E}" name="Valoración psicológica" totalsRowLabel="Total" dataDxfId="183" totalsRowDxfId="182"/>
    <tableColumn id="2" xr3:uid="{71A1C545-6B92-4ECC-9779-E84D052B7A1C}" name="NOTA" totalsRowFunction="average" dataDxfId="181" totalsRowDxfId="180">
      <calculatedColumnFormula>IF(COUNT('INFORME 1'!K32,'INFORME 2'!K32,COORDINACION!K32)&gt;0,
AVERAGE('INFORME 1'!K32,'INFORME 2'!K32,COORDINACION!K32),
"")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46BD141-BD2C-43B6-A394-CC20DCCF19E2}" name="Tabla524" displayName="Tabla524" ref="K37:L42" totalsRowCount="1" headerRowDxfId="179" dataDxfId="178" totalsRowDxfId="177">
  <autoFilter ref="K37:L41" xr:uid="{E46BD141-BD2C-43B6-A394-CC20DCCF19E2}"/>
  <tableColumns count="2">
    <tableColumn id="1" xr3:uid="{B08F34AE-ED05-41AE-B5AA-A5CE0A258687}" name="Personalidad" totalsRowLabel="Total" dataDxfId="176" totalsRowDxfId="175"/>
    <tableColumn id="2" xr3:uid="{0B70467A-603E-4498-A197-C45FB876ACB2}" name="NOTA" totalsRowFunction="average" dataDxfId="174" totalsRowDxfId="173">
      <calculatedColumnFormula>IF(COUNT('INFORME 1'!K38,'INFORME 2'!K38,COORDINACION!K38)&gt;0,
AVERAGE('INFORME 1'!K38,'INFORME 2'!K38,COORDINACION!K38),
"")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3B86E31-F4F0-4E1E-946E-616244AE335A}" name="Tabla625" displayName="Tabla625" ref="N2:Y3" totalsRowShown="0" headerRowDxfId="172" dataDxfId="171">
  <autoFilter ref="N2:Y3" xr:uid="{13B86E31-F4F0-4E1E-946E-616244AE335A}"/>
  <tableColumns count="12">
    <tableColumn id="1" xr3:uid="{57D1B510-7395-48E7-AC35-2932F2101E88}" name="NOMBRE" dataDxfId="170">
      <calculatedColumnFormula>B3</calculatedColumnFormula>
    </tableColumn>
    <tableColumn id="2" xr3:uid="{723D0001-EFC7-4B73-A70F-833EED85B417}" name="APELLIDOS" dataDxfId="169">
      <calculatedColumnFormula>B4</calculatedColumnFormula>
    </tableColumn>
    <tableColumn id="3" xr3:uid="{5B8441F7-3228-4B75-A0E0-380D1E8515E9}" name="FECHA NAC." dataDxfId="168">
      <calculatedColumnFormula>B5</calculatedColumnFormula>
    </tableColumn>
    <tableColumn id="4" xr3:uid="{5DF45175-C822-41C0-8BE9-204210D69BB3}" name="CLUB" dataDxfId="167">
      <calculatedColumnFormula>B7</calculatedColumnFormula>
    </tableColumn>
    <tableColumn id="5" xr3:uid="{91334083-0451-4AED-BDE6-3C49161623F8}" name="EQUIPO" dataDxfId="166">
      <calculatedColumnFormula>B8</calculatedColumnFormula>
    </tableColumn>
    <tableColumn id="6" xr3:uid="{38C7C2B5-FD2D-4C8B-BC7E-510949936690}" name="LATERALIDAD" dataDxfId="165">
      <calculatedColumnFormula>B10</calculatedColumnFormula>
    </tableColumn>
    <tableColumn id="7" xr3:uid="{B883E59E-A53B-4F7D-96FC-8535416FFE1D}" name="VALORACION" dataDxfId="164">
      <calculatedColumnFormula>B12</calculatedColumnFormula>
    </tableColumn>
    <tableColumn id="8" xr3:uid="{25BE5DA2-108B-4CF9-8642-2BB24EB5B765}" name="CONTACTO" dataDxfId="163"/>
    <tableColumn id="9" xr3:uid="{AD16D038-558B-4AF4-926C-10764A2B2098}" name="POS 1" dataDxfId="162">
      <calculatedColumnFormula>IF(OR(B14="",B14=0),"",B14)</calculatedColumnFormula>
    </tableColumn>
    <tableColumn id="10" xr3:uid="{A616A471-1A79-48C6-BC5E-BF4AA3D7844F}" name="POS 2" dataDxfId="161">
      <calculatedColumnFormula>IF(OR(B15="",B15=0),"",B15)</calculatedColumnFormula>
    </tableColumn>
    <tableColumn id="11" xr3:uid="{F063B829-AB35-4D2E-84F0-D4A7A878C6ED}" name="POS 3" dataDxfId="160">
      <calculatedColumnFormula>IF(OR(B16="",B16=0),"",B16)</calculatedColumnFormula>
    </tableColumn>
    <tableColumn id="12" xr3:uid="{AF3157B4-ABE1-4E54-9E3D-B8AC86267B58}" name="POS 4" dataDxfId="159">
      <calculatedColumnFormula>IF(OR(B17="",B17=0),"",B17)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9787644-215E-4D1E-B7A0-8C15B2272768}" name="Tabla1" displayName="Tabla1" ref="J1:K10" totalsRowCount="1" headerRowDxfId="158" dataDxfId="157" totalsRowDxfId="156">
  <autoFilter ref="J1:K9" xr:uid="{E9787644-215E-4D1E-B7A0-8C15B2272768}"/>
  <tableColumns count="2">
    <tableColumn id="1" xr3:uid="{B30200EB-D6DD-45F9-9913-C49A37638C12}" name="Valoración ténica" totalsRowLabel="Total" dataDxfId="155"/>
    <tableColumn id="2" xr3:uid="{F6FF116D-131C-43E9-96AB-82DD96D3CFDA}" name="Columna1" totalsRowFunction="average" dataDxfId="154" totalsRowDxfId="153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43BD970-F15F-4839-90B3-038A2495AB98}" name="Tabla2" displayName="Tabla2" ref="J12:K19" totalsRowCount="1" headerRowDxfId="152" dataDxfId="151" totalsRowDxfId="150">
  <autoFilter ref="J12:K18" xr:uid="{C43BD970-F15F-4839-90B3-038A2495AB98}"/>
  <tableColumns count="2">
    <tableColumn id="1" xr3:uid="{F6646B8E-5D13-4E0D-96E4-33844E9D3A81}" name="Valoración táctica" totalsRowLabel="Total" dataDxfId="149"/>
    <tableColumn id="2" xr3:uid="{7E86BD22-0502-43E5-987A-573BB54A458F}" name="Columna1" totalsRowFunction="average" dataDxfId="148" totalsRowDxfId="147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3DBADA0-919A-4B21-9A3B-43974D8B20EA}" name="Tabla3" displayName="Tabla3" ref="J21:K29" totalsRowCount="1" headerRowDxfId="146" dataDxfId="145" totalsRowDxfId="144">
  <autoFilter ref="J21:K28" xr:uid="{33DBADA0-919A-4B21-9A3B-43974D8B20EA}"/>
  <tableColumns count="2">
    <tableColumn id="1" xr3:uid="{364BEEA4-7DF8-43A6-A5ED-1EF937E90A74}" name="Valoración física" totalsRowLabel="Total" dataDxfId="143"/>
    <tableColumn id="2" xr3:uid="{7625E6EC-E312-4149-8147-ADE6DD3FD3E5}" name="Columna1" totalsRowFunction="average" dataDxfId="142" totalsRowDxfId="141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582C050-C073-4C89-8053-E0CB4C1301BE}" name="Tabla4" displayName="Tabla4" ref="J31:K35" totalsRowCount="1" headerRowDxfId="140" dataDxfId="139" totalsRowDxfId="138">
  <autoFilter ref="J31:K34" xr:uid="{6582C050-C073-4C89-8053-E0CB4C1301BE}"/>
  <tableColumns count="2">
    <tableColumn id="1" xr3:uid="{E7C1C580-F2D0-44E8-83ED-2AA6FEABF815}" name="Valoración psicológica" totalsRowLabel="Total" dataDxfId="137"/>
    <tableColumn id="2" xr3:uid="{9BBFD9BC-1194-4CF3-8BE0-DACABD42BF37}" name="Columna1" totalsRowFunction="average" dataDxfId="136" totalsRowDxfId="135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3B2DF0-6465-4494-B2D7-75FB96A16F1A}" name="Tabla5" displayName="Tabla5" ref="J37:K42" totalsRowCount="1" headerRowDxfId="134" dataDxfId="133" totalsRowDxfId="132">
  <autoFilter ref="J37:K41" xr:uid="{3C3B2DF0-6465-4494-B2D7-75FB96A16F1A}"/>
  <tableColumns count="2">
    <tableColumn id="1" xr3:uid="{5EEF5ECC-59C6-4927-ADAB-B42D4F4A8A1F}" name="Personalidad" totalsRowLabel="Total" dataDxfId="131"/>
    <tableColumn id="2" xr3:uid="{16E2A574-7407-4BAF-8DDB-57C2377E7533}" name="Columna1" totalsRowFunction="average" dataDxfId="130" totalsRowDxfId="129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90328C3-0949-499D-9573-603A64D2BC27}" name="Tabla6" displayName="Tabla6" ref="M2:X3" totalsRowShown="0" headerRowDxfId="128" dataDxfId="127">
  <autoFilter ref="M2:X3" xr:uid="{F90328C3-0949-499D-9573-603A64D2BC27}"/>
  <tableColumns count="12">
    <tableColumn id="1" xr3:uid="{A1F87761-9AF8-4ADB-80DD-D24AC55B50A2}" name="NOMBRE" dataDxfId="126">
      <calculatedColumnFormula>IF(LEN(B16)&gt;0,B16,"")</calculatedColumnFormula>
    </tableColumn>
    <tableColumn id="2" xr3:uid="{8FFD8B65-303A-4C3C-9B71-018609D88058}" name="APELLIDOS" dataDxfId="125">
      <calculatedColumnFormula>IF(LEN(B17)&gt;0,B17,"")</calculatedColumnFormula>
    </tableColumn>
    <tableColumn id="3" xr3:uid="{8159A649-F7CE-488B-8056-6C48A4706B16}" name="FECHA NAC." dataDxfId="124">
      <calculatedColumnFormula>IF(LEN(B18)&gt;0,B18,"")</calculatedColumnFormula>
    </tableColumn>
    <tableColumn id="4" xr3:uid="{9D94C3AE-496C-4F56-B2BC-137A13E997A3}" name="CLUB" dataDxfId="123">
      <calculatedColumnFormula>IF(LEN(B9)&gt;0,B9,"")</calculatedColumnFormula>
    </tableColumn>
    <tableColumn id="5" xr3:uid="{486E7163-9E51-4285-A2E4-5FB411F299C2}" name="EQUIPO" dataDxfId="122">
      <calculatedColumnFormula>IF(LEN(B10)&gt;0,B10,"")</calculatedColumnFormula>
    </tableColumn>
    <tableColumn id="6" xr3:uid="{5E9A1E00-AA29-4CE9-88FE-225BBFB692EE}" name="LATERALIDAD" dataDxfId="121">
      <calculatedColumnFormula>IF(LEN(B12)&gt;0,B12,"")</calculatedColumnFormula>
    </tableColumn>
    <tableColumn id="7" xr3:uid="{71D6159C-843D-4FE9-8973-F94C7F137051}" name="VALORACION" dataDxfId="120">
      <calculatedColumnFormula>IF(LEN(B14)&gt;0,B14,"")</calculatedColumnFormula>
    </tableColumn>
    <tableColumn id="8" xr3:uid="{22A013A0-BB8F-4FAE-8A68-302EAC4E3993}" name="CONTACTO" dataDxfId="119"/>
    <tableColumn id="9" xr3:uid="{4AAA7CD5-85B3-4D3F-A425-8A2D2EEC118B}" name="POS 1" dataDxfId="118">
      <calculatedColumnFormula>IF(OR(B20="",B20=0),"",B20)</calculatedColumnFormula>
    </tableColumn>
    <tableColumn id="10" xr3:uid="{D0679B56-9322-479D-843E-23A132947456}" name="POS 2" dataDxfId="117">
      <calculatedColumnFormula>IF(OR(B21="",B21=0),"",B21)</calculatedColumnFormula>
    </tableColumn>
    <tableColumn id="11" xr3:uid="{BB4C5F14-B7AE-477B-B805-3CCE4CDD60B2}" name="POS 3" dataDxfId="116">
      <calculatedColumnFormula>IF(OR(B22="",B22=0),"",B22)</calculatedColumnFormula>
    </tableColumn>
    <tableColumn id="12" xr3:uid="{EC819E00-80F9-482A-84AD-1DEC7026A26E}" name="POS 4" dataDxfId="115">
      <calculatedColumnFormula>IF(OR(B23="",B23=0),"",B23)</calculatedColumnFormula>
    </tableColumn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5D5E209-12A5-435A-9AEF-78FF8FF376A6}" name="Tabla126" displayName="Tabla126" ref="J1:K10" totalsRowCount="1" headerRowDxfId="114" dataDxfId="113" totalsRowDxfId="112">
  <autoFilter ref="J1:K9" xr:uid="{F5D5E209-12A5-435A-9AEF-78FF8FF376A6}"/>
  <tableColumns count="2">
    <tableColumn id="1" xr3:uid="{4CD7EAC4-E8EC-4802-928D-2455C33C0A3F}" name="Valoración ténica" totalsRowLabel="Total" dataDxfId="111"/>
    <tableColumn id="2" xr3:uid="{696FE80C-78E3-47D7-BFEA-0319A0C15F5C}" name="NOTA" totalsRowFunction="average" dataDxfId="110" totalsRowDxfId="109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7ACC211-FCB0-4D95-906C-7E742F1CE2B9}" name="Tabla227" displayName="Tabla227" ref="J12:K19" totalsRowCount="1" headerRowDxfId="108" dataDxfId="107" totalsRowDxfId="106">
  <autoFilter ref="J12:K18" xr:uid="{37ACC211-FCB0-4D95-906C-7E742F1CE2B9}"/>
  <tableColumns count="2">
    <tableColumn id="1" xr3:uid="{2E2F3BAC-99D9-4F69-A84E-6BDD198A8A73}" name="Valoración táctica" totalsRowLabel="Total" dataDxfId="105"/>
    <tableColumn id="2" xr3:uid="{CCA8376F-1F5B-48E5-A0E0-5F3163DB9397}" name="NOTA" totalsRowFunction="average" dataDxfId="104" totalsRowDxfId="103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336DCE7-8CD7-4833-800D-7DE9F637786D}" name="Tabla328" displayName="Tabla328" ref="J21:K29" totalsRowCount="1" headerRowDxfId="102" dataDxfId="101" totalsRowDxfId="100">
  <autoFilter ref="J21:K28" xr:uid="{E336DCE7-8CD7-4833-800D-7DE9F637786D}"/>
  <tableColumns count="2">
    <tableColumn id="1" xr3:uid="{7D8A87CE-CAD6-416B-B149-56F4A2BAA573}" name="Valoración física" totalsRowLabel="Total" dataDxfId="99" totalsRowDxfId="98"/>
    <tableColumn id="2" xr3:uid="{1E7A4D22-EC81-4112-8664-8AD30D8E7C66}" name="NOTA" totalsRowFunction="average" dataDxfId="97" totalsRowDxfId="96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E677D03-F643-4E80-AB63-9BB7A2F0CB24}" name="Tabla429" displayName="Tabla429" ref="J31:K35" totalsRowCount="1" headerRowDxfId="95" dataDxfId="94" totalsRowDxfId="93">
  <autoFilter ref="J31:K34" xr:uid="{EE677D03-F643-4E80-AB63-9BB7A2F0CB24}"/>
  <tableColumns count="2">
    <tableColumn id="1" xr3:uid="{CFBE6F7F-4C17-442C-A652-20716A6D2EF7}" name="Valoración psicológica" totalsRowLabel="Total" dataDxfId="92" totalsRowDxfId="91"/>
    <tableColumn id="2" xr3:uid="{292B296A-F6D9-46F7-9596-F636F356E543}" name="NOTA" totalsRowFunction="average" dataDxfId="90" totalsRowDxfId="89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97D6788B-2A1C-4C13-8C43-0ECABBCC4107}" name="Tabla530" displayName="Tabla530" ref="J37:K42" totalsRowCount="1" headerRowDxfId="88" dataDxfId="87" totalsRowDxfId="86">
  <autoFilter ref="J37:K41" xr:uid="{97D6788B-2A1C-4C13-8C43-0ECABBCC4107}"/>
  <tableColumns count="2">
    <tableColumn id="1" xr3:uid="{FA6005B3-5B14-42BB-824C-66BC0F88E09E}" name="Personalidad" totalsRowLabel="Total" dataDxfId="85" totalsRowDxfId="84"/>
    <tableColumn id="2" xr3:uid="{3A2D33E7-04C7-48C7-8ED3-139EBDC2C75D}" name="NOTA" totalsRowFunction="average" dataDxfId="83" totalsRowDxfId="82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A5A130-1CC6-4ADA-822A-2B9300B31364}" name="Tabla68" displayName="Tabla68" ref="M2:X3" totalsRowShown="0" headerRowDxfId="81" dataDxfId="80">
  <autoFilter ref="M2:X3" xr:uid="{76A5A130-1CC6-4ADA-822A-2B9300B31364}"/>
  <tableColumns count="12">
    <tableColumn id="1" xr3:uid="{3E596251-FC8E-4B80-9698-AC96A5103A02}" name="NOMBRE" dataDxfId="79">
      <calculatedColumnFormula>IF(LEN('INFORME 1'!B16)&gt;0,'INFORME 1'!B16,"")</calculatedColumnFormula>
    </tableColumn>
    <tableColumn id="2" xr3:uid="{1B959A15-3D93-4772-9CBC-E6EE21DE1842}" name="APELLIDOS" dataDxfId="78">
      <calculatedColumnFormula>IF(LEN('INFORME 1'!B17)&gt;0,'INFORME 1'!B17,"")</calculatedColumnFormula>
    </tableColumn>
    <tableColumn id="3" xr3:uid="{6166BDD0-0774-40A2-BBBD-DFDEB42AF798}" name="FECHA NAC." dataDxfId="77">
      <calculatedColumnFormula>IF(LEN('INFORME 1'!B18)&gt;0,'INFORME 1'!B18,"")</calculatedColumnFormula>
    </tableColumn>
    <tableColumn id="4" xr3:uid="{CEA805BF-5383-4109-BAD9-528B3E7A4E93}" name="CLUB" dataDxfId="76">
      <calculatedColumnFormula>IF(LEN('INFORME 1'!B9)&gt;0,'INFORME 1'!B9,"")</calculatedColumnFormula>
    </tableColumn>
    <tableColumn id="5" xr3:uid="{7E842AC3-4F2C-4E9C-9729-EFE2E52CB539}" name="EQUIPO" dataDxfId="75">
      <calculatedColumnFormula>IF(LEN('INFORME 1'!B10)&gt;0,'INFORME 1'!B10,"")</calculatedColumnFormula>
    </tableColumn>
    <tableColumn id="6" xr3:uid="{049262BB-CAC0-40EE-8566-40ABA549F6DE}" name="LATERALIDAD" dataDxfId="74">
      <calculatedColumnFormula>IF(LEN('INFORME 1'!B12)&gt;0,'INFORME 1'!B12,"")</calculatedColumnFormula>
    </tableColumn>
    <tableColumn id="7" xr3:uid="{B59CF62D-8F18-438C-A193-F77C79DC869C}" name="VALORACION" dataDxfId="73">
      <calculatedColumnFormula>GLOBAL!B12</calculatedColumnFormula>
    </tableColumn>
    <tableColumn id="8" xr3:uid="{D236A16F-9CAB-465F-87EB-128A86AB13A5}" name="CONTACTO" dataDxfId="72"/>
    <tableColumn id="9" xr3:uid="{5CEA1A80-9DC0-4BCA-BD99-ECA7A8F8C4CF}" name="POS 1" dataDxfId="71">
      <calculatedColumnFormula>IF(OR(B14="",B14=0),"",B14)</calculatedColumnFormula>
    </tableColumn>
    <tableColumn id="10" xr3:uid="{1099D9D9-4625-4C88-89B4-3B1D1D663503}" name="POS 2" dataDxfId="70">
      <calculatedColumnFormula>IF(OR(B15="",B15=0),"",B15)</calculatedColumnFormula>
    </tableColumn>
    <tableColumn id="11" xr3:uid="{53418273-838E-4419-BF2B-92A9DD0C34C7}" name="POS 3" dataDxfId="69">
      <calculatedColumnFormula>IF(OR(B16="",B16=0),"",B16)</calculatedColumnFormula>
    </tableColumn>
    <tableColumn id="12" xr3:uid="{87E4C6EE-A69D-449D-946A-163337F0584F}" name="POS 4" dataDxfId="68">
      <calculatedColumnFormula>IF(OR(B17="",B17=0),"",B17)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4D58A7EF-729B-4BEF-8321-E8D463B8C91A}" name="Tabla132" displayName="Tabla132" ref="J1:K10" totalsRowCount="1" headerRowDxfId="67" dataDxfId="66" totalsRowDxfId="65">
  <autoFilter ref="J1:K9" xr:uid="{4D58A7EF-729B-4BEF-8321-E8D463B8C91A}"/>
  <tableColumns count="2">
    <tableColumn id="1" xr3:uid="{B62B2006-1FD0-4718-AADD-77604ABE1319}" name="Valoración ténica" totalsRowLabel="Total" dataDxfId="64" totalsRowDxfId="63"/>
    <tableColumn id="2" xr3:uid="{5DD8EB6E-5AD4-4D51-B3C6-6113F2BAEEB3}" name="NOTA" totalsRowFunction="average" dataDxfId="62" totalsRowDxfId="61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25621D18-BFF8-41EC-8103-0BAFCAB66C72}" name="Tabla233" displayName="Tabla233" ref="J12:K19" totalsRowCount="1" headerRowDxfId="60" dataDxfId="59" totalsRowDxfId="58">
  <autoFilter ref="J12:K18" xr:uid="{25621D18-BFF8-41EC-8103-0BAFCAB66C72}"/>
  <tableColumns count="2">
    <tableColumn id="1" xr3:uid="{30EDED8A-A7AB-485A-96C3-F915E660BE09}" name="Valoración táctica" totalsRowLabel="Total" dataDxfId="57" totalsRowDxfId="56"/>
    <tableColumn id="2" xr3:uid="{12E087C2-067F-496D-B69A-212C6AE1E57C}" name="NOTA" totalsRowFunction="average" dataDxfId="55" totalsRowDxfId="54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1561A2D-19FC-42D0-B207-BAA210E4DA29}" name="Tabla334" displayName="Tabla334" ref="J21:K29" totalsRowCount="1" headerRowDxfId="53" dataDxfId="52" totalsRowDxfId="51">
  <autoFilter ref="J21:K28" xr:uid="{11561A2D-19FC-42D0-B207-BAA210E4DA29}"/>
  <tableColumns count="2">
    <tableColumn id="1" xr3:uid="{1DC560C1-E587-482D-B8EA-345531E7B43E}" name="Valoración física" totalsRowLabel="Total" dataDxfId="50" totalsRowDxfId="49"/>
    <tableColumn id="2" xr3:uid="{EAA7F842-7251-4DB6-844B-1A931FC8733A}" name="NOTA" totalsRowFunction="average" dataDxfId="48" totalsRowDxfId="47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9045208-697A-48D8-B9E6-EF9F73A81BA4}" name="Tabla435" displayName="Tabla435" ref="J31:K35" totalsRowCount="1" headerRowDxfId="46" dataDxfId="45" totalsRowDxfId="44">
  <autoFilter ref="J31:K34" xr:uid="{E9045208-697A-48D8-B9E6-EF9F73A81BA4}"/>
  <tableColumns count="2">
    <tableColumn id="1" xr3:uid="{E56615DF-BDD8-473A-A6C2-E6D25C885B6C}" name="Valoración psicológica" totalsRowLabel="Total" dataDxfId="43" totalsRowDxfId="42"/>
    <tableColumn id="2" xr3:uid="{1556FC5C-70EC-4342-983C-A74EC3349885}" name="NOTA" totalsRowFunction="average" dataDxfId="41" totalsRowDxfId="40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AB6B9E2A-1C50-41CD-8EF8-F078F937A15F}" name="Tabla536" displayName="Tabla536" ref="J37:K42" totalsRowCount="1" headerRowDxfId="39" dataDxfId="38" totalsRowDxfId="37">
  <autoFilter ref="J37:K41" xr:uid="{AB6B9E2A-1C50-41CD-8EF8-F078F937A15F}"/>
  <tableColumns count="2">
    <tableColumn id="1" xr3:uid="{E66997AC-0D23-4D8B-9C2C-93791A0319AA}" name="Personalidad" totalsRowLabel="Total" dataDxfId="36" totalsRowDxfId="35"/>
    <tableColumn id="2" xr3:uid="{0C5A4089-41C2-401D-B8F7-D0920864B345}" name="NOTA" totalsRowFunction="average" dataDxfId="34" totalsRowDxfId="33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9EC0AFC-B4C8-45A5-887E-37E3FCA7E34E}" name="Tabla69" displayName="Tabla69" ref="M2:X3" totalsRowShown="0" headerRowDxfId="32" dataDxfId="31">
  <autoFilter ref="M2:X3" xr:uid="{B9EC0AFC-B4C8-45A5-887E-37E3FCA7E34E}"/>
  <tableColumns count="12">
    <tableColumn id="1" xr3:uid="{BA86F416-7CC1-4D26-B706-EF6E38E6771E}" name="NOMBRE" dataDxfId="30">
      <calculatedColumnFormula>IF(LEN('INFORME 1'!B16)&gt;0,'INFORME 1'!B16,"")</calculatedColumnFormula>
    </tableColumn>
    <tableColumn id="2" xr3:uid="{E5E152F5-6A8C-43AF-A67F-3E9A8011DD39}" name="APELLIDOS" dataDxfId="29">
      <calculatedColumnFormula>IF(LEN('INFORME 1'!B17)&gt;0,'INFORME 1'!B17,"")</calculatedColumnFormula>
    </tableColumn>
    <tableColumn id="3" xr3:uid="{C4C44C34-E389-495E-B2EE-8C6AA9ECA177}" name="FECHA NAC." dataDxfId="28">
      <calculatedColumnFormula>IF(LEN('INFORME 1'!B18)&gt;0,'INFORME 1'!B18,"")</calculatedColumnFormula>
    </tableColumn>
    <tableColumn id="4" xr3:uid="{D209C1E1-169A-4B92-9359-6D6EBC5CE0B8}" name="CLUB" dataDxfId="27">
      <calculatedColumnFormula>IF(LEN('INFORME 1'!B9)&gt;0,'INFORME 1'!B9,"")</calculatedColumnFormula>
    </tableColumn>
    <tableColumn id="5" xr3:uid="{B368E62F-F74E-46A7-AFCE-745EA980F74D}" name="EQUIPO" dataDxfId="26">
      <calculatedColumnFormula>IF(LEN('INFORME 1'!B10)&gt;0,'INFORME 1'!B10,"")</calculatedColumnFormula>
    </tableColumn>
    <tableColumn id="6" xr3:uid="{67875DD1-AF66-484E-9F3F-FB26C73553F7}" name="LATERALIDAD" dataDxfId="25">
      <calculatedColumnFormula>IF(LEN('INFORME 1'!B12)&gt;0,'INFORME 1'!B12,"")</calculatedColumnFormula>
    </tableColumn>
    <tableColumn id="7" xr3:uid="{45B5311C-F257-4EAF-85BD-954EA8330A16}" name="VALORACION" dataDxfId="24">
      <calculatedColumnFormula>GLOBAL!B12</calculatedColumnFormula>
    </tableColumn>
    <tableColumn id="8" xr3:uid="{4414CDC2-8C3F-40B3-AE24-626B0317B234}" name="CONTACTO" dataDxfId="23"/>
    <tableColumn id="9" xr3:uid="{11EA95BC-DE7D-4042-877F-496C85B5F42D}" name="POS 1" dataDxfId="22">
      <calculatedColumnFormula>IF(OR(B14="",B14=0),"",B14)</calculatedColumnFormula>
    </tableColumn>
    <tableColumn id="10" xr3:uid="{6491AED0-3ABE-47D3-B51F-EA6B0BD1BE7B}" name="POS 2" dataDxfId="21">
      <calculatedColumnFormula>IF(OR(B15="",B15=0),"",B15)</calculatedColumnFormula>
    </tableColumn>
    <tableColumn id="11" xr3:uid="{7D85E7B4-02BA-4736-922C-464E65F2542A}" name="POS 3" dataDxfId="20">
      <calculatedColumnFormula>IF(OR(B16="",B16=0),"",B16)</calculatedColumnFormula>
    </tableColumn>
    <tableColumn id="12" xr3:uid="{3F007FEC-6EE9-46C2-A4EB-F15761EDA692}" name="POS 4" dataDxfId="19">
      <calculatedColumnFormula>IF(OR(B17="",B17=0),"",B17)</calculatedColumnFormula>
    </tableColumn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46A0418-1796-4FFC-B675-729EEC95A078}" name="Tabla10" displayName="Tabla10" ref="A2:B13" totalsRowShown="0">
  <autoFilter ref="A2:B13" xr:uid="{646A0418-1796-4FFC-B675-729EEC95A078}"/>
  <tableColumns count="2">
    <tableColumn id="1" xr3:uid="{5C11F685-BC81-4E21-95EF-2071BBFAD708}" name="POSICION"/>
    <tableColumn id="2" xr3:uid="{5D3C0876-6219-4A1A-AC6D-069016049C36}" name="ABREVIATURA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B4C6947-F0C1-4B80-A1D5-B88F52CE3ED5}" name="Tabla11" displayName="Tabla11" ref="D2:E5" totalsRowShown="0">
  <autoFilter ref="D2:E5" xr:uid="{BB4C6947-F0C1-4B80-A1D5-B88F52CE3ED5}"/>
  <tableColumns count="2">
    <tableColumn id="1" xr3:uid="{A6871D02-39E2-4FE6-AD72-955A7F8A7633}" name="LATERALIDAD"/>
    <tableColumn id="2" xr3:uid="{FCE02F27-7DB6-487B-9AE0-5551438DCFB3}" name="ABREVIATURA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drawing" Target="../drawings/drawing2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7" Type="http://schemas.openxmlformats.org/officeDocument/2006/relationships/table" Target="../tables/table18.xml"/><Relationship Id="rId2" Type="http://schemas.openxmlformats.org/officeDocument/2006/relationships/table" Target="../tables/table13.xml"/><Relationship Id="rId1" Type="http://schemas.openxmlformats.org/officeDocument/2006/relationships/drawing" Target="../drawings/drawing3.xml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table" Target="../tables/table19.xml"/><Relationship Id="rId1" Type="http://schemas.openxmlformats.org/officeDocument/2006/relationships/drawing" Target="../drawings/drawing4.xml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B9116-9643-48EE-B6E7-03D4432F6E80}">
  <sheetPr codeName="Hoja2">
    <pageSetUpPr fitToPage="1"/>
  </sheetPr>
  <dimension ref="A1:Y42"/>
  <sheetViews>
    <sheetView showGridLines="0" tabSelected="1" zoomScale="85" zoomScaleNormal="85" workbookViewId="0">
      <selection activeCell="B39" sqref="B39"/>
    </sheetView>
  </sheetViews>
  <sheetFormatPr baseColWidth="10" defaultColWidth="11.42578125" defaultRowHeight="15" customHeight="1" x14ac:dyDescent="0.25"/>
  <cols>
    <col min="1" max="1" width="16.7109375" style="12" customWidth="1"/>
    <col min="2" max="2" width="17.7109375" style="3" customWidth="1"/>
    <col min="3" max="3" width="2.7109375" style="1" customWidth="1"/>
    <col min="4" max="4" width="11.42578125" style="1" customWidth="1"/>
    <col min="5" max="5" width="19.7109375" style="1" customWidth="1"/>
    <col min="6" max="6" width="8.85546875" style="1" customWidth="1"/>
    <col min="7" max="7" width="6.5703125" style="1" customWidth="1"/>
    <col min="8" max="9" width="11.42578125" style="1"/>
    <col min="10" max="10" width="2.7109375" style="1" customWidth="1"/>
    <col min="11" max="11" width="37" bestFit="1" customWidth="1"/>
    <col min="12" max="12" width="8.5703125" style="28" bestFit="1" customWidth="1"/>
    <col min="13" max="13" width="2.7109375" style="1" customWidth="1"/>
    <col min="14" max="14" width="11.42578125" bestFit="1" customWidth="1"/>
    <col min="15" max="15" width="13.42578125" bestFit="1" customWidth="1"/>
    <col min="16" max="16" width="14.42578125" bestFit="1" customWidth="1"/>
    <col min="17" max="17" width="16.85546875" bestFit="1" customWidth="1"/>
    <col min="18" max="18" width="16.140625" bestFit="1" customWidth="1"/>
    <col min="19" max="19" width="18.28515625" bestFit="1" customWidth="1"/>
    <col min="20" max="20" width="18.140625" bestFit="1" customWidth="1"/>
    <col min="21" max="21" width="16.140625" bestFit="1" customWidth="1"/>
    <col min="22" max="25" width="11.42578125" bestFit="1" customWidth="1"/>
    <col min="26" max="16384" width="11.42578125" style="1"/>
  </cols>
  <sheetData>
    <row r="1" spans="1:25" ht="15" customHeight="1" x14ac:dyDescent="0.25">
      <c r="A1" s="40" t="s">
        <v>59</v>
      </c>
      <c r="B1" s="40"/>
      <c r="C1" s="21" t="s">
        <v>72</v>
      </c>
      <c r="K1" t="s">
        <v>0</v>
      </c>
      <c r="L1" s="28" t="s">
        <v>33</v>
      </c>
      <c r="N1" s="40" t="s">
        <v>35</v>
      </c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</row>
    <row r="2" spans="1:25" ht="15" customHeight="1" thickBot="1" x14ac:dyDescent="0.3">
      <c r="A2" s="16"/>
      <c r="B2" s="22"/>
      <c r="K2" t="s">
        <v>1</v>
      </c>
      <c r="L2" s="28" t="str">
        <f>IF(COUNT('INFORME 1'!K2,'INFORME 2'!K2,COORDINACION!K2)&gt;0,
AVERAGE('INFORME 1'!K2,'INFORME 2'!K2,COORDINACION!K2),
"")</f>
        <v/>
      </c>
      <c r="N2" t="s">
        <v>36</v>
      </c>
      <c r="O2" t="s">
        <v>41</v>
      </c>
      <c r="P2" t="s">
        <v>42</v>
      </c>
      <c r="Q2" s="22" t="s">
        <v>43</v>
      </c>
      <c r="R2" s="22" t="s">
        <v>44</v>
      </c>
      <c r="S2" s="22" t="s">
        <v>45</v>
      </c>
      <c r="T2" s="22" t="s">
        <v>46</v>
      </c>
      <c r="U2" s="22" t="s">
        <v>47</v>
      </c>
      <c r="V2" s="22" t="s">
        <v>48</v>
      </c>
      <c r="W2" s="22" t="s">
        <v>49</v>
      </c>
      <c r="X2" s="22" t="s">
        <v>50</v>
      </c>
      <c r="Y2" s="22" t="s">
        <v>51</v>
      </c>
    </row>
    <row r="3" spans="1:25" ht="15" customHeight="1" x14ac:dyDescent="0.25">
      <c r="A3" s="13" t="s">
        <v>36</v>
      </c>
      <c r="B3" s="24" t="str">
        <f>IF('INFORME 1'!B16=0,"",'INFORME 1'!B16)</f>
        <v/>
      </c>
      <c r="K3" t="s">
        <v>2</v>
      </c>
      <c r="L3" s="28" t="str">
        <f>IF(COUNT('INFORME 1'!K3,'INFORME 2'!K3,COORDINACION!K3)&gt;0,
AVERAGE('INFORME 1'!K3,'INFORME 2'!K3,COORDINACION!K3),
"")</f>
        <v/>
      </c>
      <c r="N3" s="29" t="str">
        <f>B3</f>
        <v/>
      </c>
      <c r="O3" s="29" t="str">
        <f>B4</f>
        <v/>
      </c>
      <c r="P3" s="23" t="str">
        <f>B5</f>
        <v/>
      </c>
      <c r="Q3" s="22" t="str">
        <f>B7</f>
        <v/>
      </c>
      <c r="R3" s="23" t="str">
        <f>B8</f>
        <v/>
      </c>
      <c r="S3" s="22" t="str">
        <f>B10</f>
        <v/>
      </c>
      <c r="T3" s="32" t="str">
        <f>B12</f>
        <v/>
      </c>
      <c r="U3" s="22"/>
      <c r="V3" s="22" t="str">
        <f>IF(OR(B14="",B14=0),"",B14)</f>
        <v/>
      </c>
      <c r="W3" s="22" t="str">
        <f>IF(OR(B15="",B15=0),"",B15)</f>
        <v/>
      </c>
      <c r="X3" s="22" t="str">
        <f>IF(OR(B16="",B16=0),"",B16)</f>
        <v/>
      </c>
      <c r="Y3" s="22" t="str">
        <f>IF(OR(B17="",B17=0),"",B17)</f>
        <v/>
      </c>
    </row>
    <row r="4" spans="1:25" ht="15" customHeight="1" x14ac:dyDescent="0.25">
      <c r="A4" s="14" t="s">
        <v>41</v>
      </c>
      <c r="B4" s="27" t="str">
        <f>IF('INFORME 1'!B17=0,"",'INFORME 1'!B17)</f>
        <v/>
      </c>
      <c r="K4" t="s">
        <v>3</v>
      </c>
      <c r="L4" s="28" t="str">
        <f>IF(COUNT('INFORME 1'!K4,'INFORME 2'!K4,COORDINACION!K4)&gt;0,
AVERAGE('INFORME 1'!K4,'INFORME 2'!K4,COORDINACION!K4),
"")</f>
        <v/>
      </c>
    </row>
    <row r="5" spans="1:25" ht="15" customHeight="1" thickBot="1" x14ac:dyDescent="0.3">
      <c r="A5" s="15" t="s">
        <v>54</v>
      </c>
      <c r="B5" s="37" t="str">
        <f>IF('INFORME 1'!B18=0,"",'INFORME 1'!B18)</f>
        <v/>
      </c>
      <c r="F5" s="47"/>
      <c r="K5" t="s">
        <v>4</v>
      </c>
      <c r="L5" s="28" t="str">
        <f>IF(COUNT('INFORME 1'!K5,'INFORME 2'!K5,COORDINACION!K5)&gt;0,
AVERAGE('INFORME 1'!K5,'INFORME 2'!K5,COORDINACION!K5),
"")</f>
        <v/>
      </c>
      <c r="N5" s="40" t="s">
        <v>102</v>
      </c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</row>
    <row r="6" spans="1:25" ht="15" customHeight="1" thickBot="1" x14ac:dyDescent="0.3">
      <c r="A6" s="16"/>
      <c r="B6" s="23"/>
      <c r="F6" s="47"/>
      <c r="K6" t="s">
        <v>5</v>
      </c>
      <c r="L6" s="28" t="str">
        <f>IF(COUNT('INFORME 1'!K6,'INFORME 2'!K6,COORDINACION!K6)&gt;0,
AVERAGE('INFORME 1'!K6,'INFORME 2'!K6,COORDINACION!K6),
"")</f>
        <v/>
      </c>
      <c r="N6" s="41">
        <f>'INFORME 1'!M6</f>
        <v>0</v>
      </c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</row>
    <row r="7" spans="1:25" ht="15" customHeight="1" x14ac:dyDescent="0.25">
      <c r="A7" s="13" t="s">
        <v>52</v>
      </c>
      <c r="B7" s="24" t="str">
        <f>IF(COORDINACION!B9&lt;&gt;0,COORDINACION!B9,IF('INFORME 2'!B9&lt;&gt;0,'INFORME 2'!B9,IF('INFORME 1'!B9&lt;&gt;0,'INFORME 1'!B9,"")))</f>
        <v/>
      </c>
      <c r="F7" s="47"/>
      <c r="K7" t="s">
        <v>6</v>
      </c>
      <c r="L7" s="28" t="str">
        <f>IF(COUNT('INFORME 1'!K7,'INFORME 2'!K7,COORDINACION!K7)&gt;0,
AVERAGE('INFORME 1'!K7,'INFORME 2'!K7,COORDINACION!K7),
"")</f>
        <v/>
      </c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</row>
    <row r="8" spans="1:25" ht="15" customHeight="1" thickBot="1" x14ac:dyDescent="0.3">
      <c r="A8" s="15" t="s">
        <v>53</v>
      </c>
      <c r="B8" s="37" t="str">
        <f>IF(COORDINACION!B10&lt;&gt;0,COORDINACION!B10,IF('INFORME 2'!B10&lt;&gt;0,'INFORME 2'!B10,IF('INFORME 1'!B10&lt;&gt;0,'INFORME 1'!B10,"")))</f>
        <v/>
      </c>
      <c r="K8" t="s">
        <v>7</v>
      </c>
      <c r="L8" s="28" t="str">
        <f>IF(COUNT('INFORME 1'!K8,'INFORME 2'!K8,COORDINACION!K8)&gt;0,
AVERAGE('INFORME 1'!K8,'INFORME 2'!K8,COORDINACION!K8),
"")</f>
        <v/>
      </c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</row>
    <row r="9" spans="1:25" ht="15" customHeight="1" thickBot="1" x14ac:dyDescent="0.3">
      <c r="A9" s="16"/>
      <c r="B9" s="22"/>
      <c r="K9" t="s">
        <v>8</v>
      </c>
      <c r="L9" s="28" t="str">
        <f>IF(COUNT('INFORME 1'!K9,'INFORME 2'!K9,COORDINACION!K9)&gt;0,
AVERAGE('INFORME 1'!K9,'INFORME 2'!K9,COORDINACION!K9),
"")</f>
        <v/>
      </c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</row>
    <row r="10" spans="1:25" ht="15" customHeight="1" thickBot="1" x14ac:dyDescent="0.3">
      <c r="A10" s="17" t="s">
        <v>45</v>
      </c>
      <c r="B10" s="25" t="str">
        <f>IF(LEN('INFORME 1'!B12)&gt;0,'INFORME 1'!B12,"")</f>
        <v/>
      </c>
      <c r="D10" s="47"/>
      <c r="I10" s="47"/>
      <c r="K10" t="s">
        <v>34</v>
      </c>
      <c r="L10" s="28" t="e">
        <f>SUBTOTAL(101,Tabla120[NOTA])</f>
        <v>#DIV/0!</v>
      </c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</row>
    <row r="11" spans="1:25" ht="15" customHeight="1" thickBot="1" x14ac:dyDescent="0.3">
      <c r="A11" s="16"/>
      <c r="B11" s="22"/>
      <c r="D11" s="47"/>
      <c r="I11" s="47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</row>
    <row r="12" spans="1:25" ht="15" customHeight="1" thickBot="1" x14ac:dyDescent="0.3">
      <c r="A12" s="17" t="s">
        <v>46</v>
      </c>
      <c r="B12" s="26" t="str">
        <f>IF(COUNT(L10,L19,L29,L35,L42)&gt;0,
AVERAGE(L10,L19,L29,L35,L42),
"")</f>
        <v/>
      </c>
      <c r="D12" s="47"/>
      <c r="F12" s="47"/>
      <c r="I12" s="47"/>
      <c r="K12" t="s">
        <v>9</v>
      </c>
      <c r="L12" s="28" t="s">
        <v>33</v>
      </c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</row>
    <row r="13" spans="1:25" ht="15" customHeight="1" thickBot="1" x14ac:dyDescent="0.3">
      <c r="A13" s="16"/>
      <c r="B13" s="22"/>
      <c r="F13" s="47"/>
      <c r="K13" t="s">
        <v>10</v>
      </c>
      <c r="L13" s="28" t="str">
        <f>IF(COUNT('INFORME 1'!K13,'INFORME 2'!K13,COORDINACION!K13)&gt;0,
AVERAGE('INFORME 1'!K13,'INFORME 2'!K13,COORDINACION!K13),
"")</f>
        <v/>
      </c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</row>
    <row r="14" spans="1:25" ht="15" customHeight="1" x14ac:dyDescent="0.25">
      <c r="A14" s="13" t="s">
        <v>55</v>
      </c>
      <c r="B14" s="27" t="str">
        <f>IF(OR('INFORME 1'!B20="",'INFORME 1'!B20=0),"",'INFORME 1'!B20)</f>
        <v/>
      </c>
      <c r="F14" s="47"/>
      <c r="K14" t="s">
        <v>11</v>
      </c>
      <c r="L14" s="28" t="str">
        <f>IF(COUNT('INFORME 1'!K14,'INFORME 2'!K14,COORDINACION!K14)&gt;0,
AVERAGE('INFORME 1'!K14,'INFORME 2'!K14,COORDINACION!K14),
"")</f>
        <v/>
      </c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</row>
    <row r="15" spans="1:25" ht="15" customHeight="1" x14ac:dyDescent="0.25">
      <c r="A15" s="14" t="s">
        <v>56</v>
      </c>
      <c r="B15" s="27" t="str">
        <f>IF(OR('INFORME 1'!B21="",'INFORME 1'!B21=0),"",'INFORME 1'!B21)</f>
        <v/>
      </c>
      <c r="K15" t="s">
        <v>12</v>
      </c>
      <c r="L15" s="28" t="str">
        <f>IF(COUNT('INFORME 1'!K15,'INFORME 2'!K15,COORDINACION!K15)&gt;0,
AVERAGE('INFORME 1'!K15,'INFORME 2'!K15,COORDINACION!K15),
"")</f>
        <v/>
      </c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</row>
    <row r="16" spans="1:25" ht="15" customHeight="1" x14ac:dyDescent="0.25">
      <c r="A16" s="14" t="s">
        <v>57</v>
      </c>
      <c r="B16" s="27" t="str">
        <f>IF(OR('INFORME 1'!B22="",'INFORME 1'!B22=0),"",'INFORME 1'!B22)</f>
        <v/>
      </c>
      <c r="K16" t="s">
        <v>13</v>
      </c>
      <c r="L16" s="28" t="str">
        <f>IF(COUNT('INFORME 1'!K16,'INFORME 2'!K16,COORDINACION!K16)&gt;0,
AVERAGE('INFORME 1'!K16,'INFORME 2'!K16,COORDINACION!K16),
"")</f>
        <v/>
      </c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</row>
    <row r="17" spans="1:25" ht="15" customHeight="1" thickBot="1" x14ac:dyDescent="0.3">
      <c r="A17" s="15" t="s">
        <v>58</v>
      </c>
      <c r="B17" s="37" t="str">
        <f>IF(OR('INFORME 1'!B23="",'INFORME 1'!B23=0),"",'INFORME 1'!B23)</f>
        <v/>
      </c>
      <c r="D17" s="47"/>
      <c r="I17" s="47"/>
      <c r="K17" t="s">
        <v>14</v>
      </c>
      <c r="L17" s="28" t="str">
        <f>IF(COUNT('INFORME 1'!K17,'INFORME 2'!K17,COORDINACION!K17)&gt;0,
AVERAGE('INFORME 1'!K17,'INFORME 2'!K17,COORDINACION!K17),
"")</f>
        <v/>
      </c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</row>
    <row r="18" spans="1:25" ht="15" customHeight="1" thickBot="1" x14ac:dyDescent="0.3">
      <c r="A18"/>
      <c r="B18" s="22"/>
      <c r="D18" s="47"/>
      <c r="I18" s="47"/>
      <c r="K18" t="s">
        <v>15</v>
      </c>
      <c r="L18" s="28" t="str">
        <f>IF(COUNT('INFORME 1'!K18,'INFORME 2'!K18,COORDINACION!K18)&gt;0,
AVERAGE('INFORME 1'!K18,'INFORME 2'!K18,COORDINACION!K18),
"")</f>
        <v/>
      </c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</row>
    <row r="19" spans="1:25" ht="15" customHeight="1" thickBot="1" x14ac:dyDescent="0.3">
      <c r="A19" s="17" t="s">
        <v>70</v>
      </c>
      <c r="B19" s="25" t="str">
        <f>IF(LEN('INFORME 1'!B25)&gt;0,'INFORME 1'!B25,"")</f>
        <v/>
      </c>
      <c r="D19" s="47"/>
      <c r="I19" s="47"/>
      <c r="K19" t="s">
        <v>34</v>
      </c>
      <c r="L19" s="28" t="e">
        <f>SUBTOTAL(101,Tabla221[NOTA])</f>
        <v>#DIV/0!</v>
      </c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</row>
    <row r="20" spans="1:25" ht="15" customHeight="1" thickBot="1" x14ac:dyDescent="0.3">
      <c r="A20"/>
      <c r="B20" s="22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</row>
    <row r="21" spans="1:25" ht="15" customHeight="1" thickBot="1" x14ac:dyDescent="0.3">
      <c r="A21" s="17" t="s">
        <v>47</v>
      </c>
      <c r="B21" s="11"/>
      <c r="K21" t="s">
        <v>16</v>
      </c>
      <c r="L21" s="28" t="s">
        <v>33</v>
      </c>
    </row>
    <row r="22" spans="1:25" ht="15" customHeight="1" thickBot="1" x14ac:dyDescent="0.3">
      <c r="A22" s="19"/>
      <c r="B22" s="22"/>
      <c r="F22" s="47"/>
      <c r="K22" t="s">
        <v>17</v>
      </c>
      <c r="L22" s="28" t="str">
        <f>IF(COUNT('INFORME 1'!K22,'INFORME 2'!K22,COORDINACION!K22)&gt;0,
AVERAGE('INFORME 1'!K22,'INFORME 2'!K22,COORDINACION!K22),
"")</f>
        <v/>
      </c>
    </row>
    <row r="23" spans="1:25" ht="15" customHeight="1" thickBot="1" x14ac:dyDescent="0.3">
      <c r="A23" s="17" t="s">
        <v>71</v>
      </c>
      <c r="B23" s="39">
        <v>46057.444120370368</v>
      </c>
      <c r="F23" s="47"/>
      <c r="K23" t="s">
        <v>18</v>
      </c>
      <c r="L23" s="28" t="str">
        <f>IF(COUNT('INFORME 1'!K23,'INFORME 2'!K23,COORDINACION!K23)&gt;0,
AVERAGE('INFORME 1'!K23,'INFORME 2'!K23,COORDINACION!K23),
"")</f>
        <v/>
      </c>
    </row>
    <row r="24" spans="1:25" ht="15" customHeight="1" x14ac:dyDescent="0.25">
      <c r="F24" s="47"/>
      <c r="K24" t="s">
        <v>19</v>
      </c>
      <c r="L24" s="28" t="str">
        <f>IF(COUNT('INFORME 1'!K24,'INFORME 2'!K24,COORDINACION!K24)&gt;0,
AVERAGE('INFORME 1'!K24,'INFORME 2'!K24,COORDINACION!K24),
"")</f>
        <v/>
      </c>
    </row>
    <row r="25" spans="1:25" ht="15" customHeight="1" thickBot="1" x14ac:dyDescent="0.3">
      <c r="A25" s="31"/>
      <c r="K25" t="s">
        <v>20</v>
      </c>
      <c r="L25" s="28" t="str">
        <f>IF(COUNT('INFORME 1'!K25,'INFORME 2'!K25,COORDINACION!K25)&gt;0,
AVERAGE('INFORME 1'!K25,'INFORME 2'!K25,COORDINACION!K25),
"")</f>
        <v/>
      </c>
    </row>
    <row r="26" spans="1:25" ht="15" customHeight="1" x14ac:dyDescent="0.25">
      <c r="A26" s="42" t="s">
        <v>77</v>
      </c>
      <c r="B26" s="43"/>
      <c r="K26" t="s">
        <v>21</v>
      </c>
      <c r="L26" s="28" t="str">
        <f>IF(COUNT('INFORME 1'!K26,'INFORME 2'!K26,COORDINACION!K26)&gt;0,
AVERAGE('INFORME 1'!K26,'INFORME 2'!K26,COORDINACION!K26),
"")</f>
        <v/>
      </c>
    </row>
    <row r="27" spans="1:25" ht="15" customHeight="1" x14ac:dyDescent="0.25">
      <c r="A27" s="33" t="s">
        <v>78</v>
      </c>
      <c r="B27" s="34" t="s">
        <v>73</v>
      </c>
      <c r="K27" t="s">
        <v>22</v>
      </c>
      <c r="L27" s="28" t="str">
        <f>IF(COUNT('INFORME 1'!K27,'INFORME 2'!K27,COORDINACION!K27)&gt;0,
AVERAGE('INFORME 1'!K27,'INFORME 2'!K27,COORDINACION!K27),
"")</f>
        <v/>
      </c>
    </row>
    <row r="28" spans="1:25" ht="15" customHeight="1" x14ac:dyDescent="0.25">
      <c r="A28" s="33" t="s">
        <v>79</v>
      </c>
      <c r="B28" s="34" t="s">
        <v>87</v>
      </c>
      <c r="D28" s="47"/>
      <c r="E28" s="47"/>
      <c r="G28" s="47"/>
      <c r="I28" s="47"/>
      <c r="K28" t="s">
        <v>23</v>
      </c>
      <c r="L28" s="28" t="str">
        <f>IF(COUNT('INFORME 1'!K28,'INFORME 2'!K28,COORDINACION!K28)&gt;0,
AVERAGE('INFORME 1'!K28,'INFORME 2'!K28,COORDINACION!K28),
"")</f>
        <v/>
      </c>
    </row>
    <row r="29" spans="1:25" ht="15" customHeight="1" x14ac:dyDescent="0.25">
      <c r="A29" s="33" t="s">
        <v>95</v>
      </c>
      <c r="B29" s="34" t="s">
        <v>88</v>
      </c>
      <c r="D29" s="47"/>
      <c r="E29" s="47"/>
      <c r="G29" s="47"/>
      <c r="I29" s="47"/>
      <c r="K29" t="s">
        <v>34</v>
      </c>
      <c r="L29" s="28" t="e">
        <f>SUBTOTAL(101,Tabla322[NOTA])</f>
        <v>#DIV/0!</v>
      </c>
    </row>
    <row r="30" spans="1:25" ht="15" customHeight="1" x14ac:dyDescent="0.25">
      <c r="A30" s="33" t="s">
        <v>80</v>
      </c>
      <c r="B30" s="34" t="s">
        <v>76</v>
      </c>
      <c r="D30" s="47"/>
      <c r="E30" s="47"/>
      <c r="G30" s="47"/>
      <c r="I30" s="47"/>
    </row>
    <row r="31" spans="1:25" ht="15" customHeight="1" x14ac:dyDescent="0.25">
      <c r="A31" s="33" t="s">
        <v>81</v>
      </c>
      <c r="B31" s="34" t="s">
        <v>89</v>
      </c>
      <c r="K31" t="s">
        <v>24</v>
      </c>
      <c r="L31" s="28" t="s">
        <v>33</v>
      </c>
    </row>
    <row r="32" spans="1:25" ht="15" customHeight="1" x14ac:dyDescent="0.25">
      <c r="A32" s="33" t="s">
        <v>96</v>
      </c>
      <c r="B32" s="34" t="s">
        <v>90</v>
      </c>
      <c r="K32" t="s">
        <v>25</v>
      </c>
      <c r="L32" s="28" t="str">
        <f>IF(COUNT('INFORME 1'!K32,'INFORME 2'!K32,COORDINACION!K32)&gt;0,
AVERAGE('INFORME 1'!K32,'INFORME 2'!K32,COORDINACION!K32),
"")</f>
        <v/>
      </c>
    </row>
    <row r="33" spans="1:12" ht="15" customHeight="1" x14ac:dyDescent="0.25">
      <c r="A33" s="33" t="s">
        <v>82</v>
      </c>
      <c r="B33" s="34" t="s">
        <v>91</v>
      </c>
      <c r="K33" t="s">
        <v>26</v>
      </c>
      <c r="L33" s="28" t="str">
        <f>IF(COUNT('INFORME 1'!K33,'INFORME 2'!K33,COORDINACION!K33)&gt;0,
AVERAGE('INFORME 1'!K33,'INFORME 2'!K33,COORDINACION!K33),
"")</f>
        <v/>
      </c>
    </row>
    <row r="34" spans="1:12" ht="15" customHeight="1" x14ac:dyDescent="0.25">
      <c r="A34" s="33" t="s">
        <v>83</v>
      </c>
      <c r="B34" s="34" t="s">
        <v>92</v>
      </c>
      <c r="F34" s="47"/>
      <c r="K34" t="s">
        <v>27</v>
      </c>
      <c r="L34" s="28" t="str">
        <f>IF(COUNT('INFORME 1'!K34,'INFORME 2'!K34,COORDINACION!K34)&gt;0,
AVERAGE('INFORME 1'!K34,'INFORME 2'!K34,COORDINACION!K34),
"")</f>
        <v/>
      </c>
    </row>
    <row r="35" spans="1:12" ht="15" customHeight="1" x14ac:dyDescent="0.25">
      <c r="A35" s="33" t="s">
        <v>84</v>
      </c>
      <c r="B35" s="34" t="s">
        <v>93</v>
      </c>
      <c r="F35" s="47"/>
      <c r="K35" t="s">
        <v>34</v>
      </c>
      <c r="L35" s="28" t="e">
        <f>SUBTOTAL(101,Tabla423[NOTA])</f>
        <v>#DIV/0!</v>
      </c>
    </row>
    <row r="36" spans="1:12" ht="15" customHeight="1" x14ac:dyDescent="0.25">
      <c r="A36" s="33" t="s">
        <v>85</v>
      </c>
      <c r="B36" s="34" t="s">
        <v>94</v>
      </c>
      <c r="F36" s="47"/>
    </row>
    <row r="37" spans="1:12" ht="15" customHeight="1" thickBot="1" x14ac:dyDescent="0.3">
      <c r="A37" s="35" t="s">
        <v>86</v>
      </c>
      <c r="B37" s="36" t="s">
        <v>74</v>
      </c>
      <c r="K37" t="s">
        <v>28</v>
      </c>
      <c r="L37" s="28" t="s">
        <v>33</v>
      </c>
    </row>
    <row r="38" spans="1:12" ht="15" customHeight="1" thickBot="1" x14ac:dyDescent="0.3">
      <c r="A38" s="31"/>
      <c r="K38" t="s">
        <v>29</v>
      </c>
      <c r="L38" s="28" t="str">
        <f>IF(COUNT('INFORME 1'!K38,'INFORME 2'!K38,COORDINACION!K38)&gt;0,
AVERAGE('INFORME 1'!K38,'INFORME 2'!K38,COORDINACION!K38),
"")</f>
        <v/>
      </c>
    </row>
    <row r="39" spans="1:12" ht="15" customHeight="1" thickBot="1" x14ac:dyDescent="0.3">
      <c r="A39" s="17" t="s">
        <v>97</v>
      </c>
      <c r="B39" s="48" t="str">
        <f>IF(AND(COORDINACION!B40&lt;&gt;"",COORDINACION!B40&lt;&gt;"SIN DEFINIR"),COORDINACION!B40,IF(AND('INFORME 2'!B40&lt;&gt;"",'INFORME 2'!B40&lt;&gt;"SIN DEFINIR"),'INFORME 2'!B40,IF(AND('INFORME 1'!B40&lt;&gt;"",'INFORME 1'!B40&lt;&gt;"SIN DEFINIR"),'INFORME 1'!B40,"PENDIENTE")))</f>
        <v>PENDIENTE</v>
      </c>
      <c r="D39" s="12"/>
      <c r="E39" s="12"/>
      <c r="F39" s="12"/>
      <c r="G39" s="12"/>
      <c r="H39" s="12"/>
      <c r="K39" t="s">
        <v>30</v>
      </c>
      <c r="L39" s="28" t="str">
        <f>IF(COUNT('INFORME 1'!K39,'INFORME 2'!K39,COORDINACION!K39)&gt;0,
AVERAGE('INFORME 1'!K39,'INFORME 2'!K39,COORDINACION!K39),
"")</f>
        <v/>
      </c>
    </row>
    <row r="40" spans="1:12" ht="15" customHeight="1" x14ac:dyDescent="0.25">
      <c r="K40" t="s">
        <v>31</v>
      </c>
      <c r="L40" s="28" t="str">
        <f>IF(COUNT('INFORME 1'!K40,'INFORME 2'!K40,COORDINACION!K40)&gt;0,
AVERAGE('INFORME 1'!K40,'INFORME 2'!K40,COORDINACION!K40),
"")</f>
        <v/>
      </c>
    </row>
    <row r="41" spans="1:12" ht="15" customHeight="1" thickBot="1" x14ac:dyDescent="0.3">
      <c r="K41" t="s">
        <v>32</v>
      </c>
      <c r="L41" s="28" t="str">
        <f>IF(COUNT('INFORME 1'!K41,'INFORME 2'!K41,COORDINACION!K41)&gt;0,
AVERAGE('INFORME 1'!K41,'INFORME 2'!K41,COORDINACION!K41),
"")</f>
        <v/>
      </c>
    </row>
    <row r="42" spans="1:12" ht="15" customHeight="1" thickBot="1" x14ac:dyDescent="0.3">
      <c r="E42" s="38" t="s">
        <v>99</v>
      </c>
      <c r="F42" s="11" t="str">
        <f>_xlfn.LET(
_xlpm.x,IF('INFORME 1'!B3&lt;&gt;"",1,0)+IF('INFORME 2'!B3&lt;&gt;"",1,0)+IF(COORDINACION!B3&lt;&gt;"",1,0),
IF(_xlpm.x=0,"",_xlpm.x)
)</f>
        <v/>
      </c>
      <c r="K42" t="s">
        <v>34</v>
      </c>
      <c r="L42" s="28" t="e">
        <f>SUBTOTAL(101,Tabla524[NOTA])</f>
        <v>#DIV/0!</v>
      </c>
    </row>
  </sheetData>
  <sheetProtection sheet="1" formatCells="0"/>
  <mergeCells count="5">
    <mergeCell ref="A1:B1"/>
    <mergeCell ref="N1:Y1"/>
    <mergeCell ref="N5:Y5"/>
    <mergeCell ref="N6:Y20"/>
    <mergeCell ref="A26:B26"/>
  </mergeCells>
  <conditionalFormatting sqref="B39">
    <cfRule type="cellIs" dxfId="18" priority="4" operator="equal">
      <formula>"FICHAR"</formula>
    </cfRule>
    <cfRule type="cellIs" dxfId="17" priority="5" operator="equal">
      <formula>"SEGUIR"</formula>
    </cfRule>
    <cfRule type="cellIs" dxfId="16" priority="6" operator="equal">
      <formula>"PRIO. BAJA"</formula>
    </cfRule>
    <cfRule type="cellIs" dxfId="15" priority="7" operator="equal">
      <formula>"DESCARTAR"</formula>
    </cfRule>
  </conditionalFormatting>
  <conditionalFormatting sqref="F42">
    <cfRule type="cellIs" dxfId="14" priority="1" operator="equal">
      <formula>3</formula>
    </cfRule>
    <cfRule type="cellIs" dxfId="13" priority="2" operator="equal">
      <formula>2</formula>
    </cfRule>
    <cfRule type="cellIs" dxfId="12" priority="3" operator="equal">
      <formula>1</formula>
    </cfRule>
  </conditionalFormatting>
  <pageMargins left="0.25" right="0.25" top="0.75" bottom="0.75" header="0.3" footer="0.3"/>
  <pageSetup paperSize="9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rConB3B4YFecha">
                <anchor moveWithCells="1" sizeWithCells="1">
                  <from>
                    <xdr:col>0</xdr:col>
                    <xdr:colOff>19050</xdr:colOff>
                    <xdr:row>40</xdr:row>
                    <xdr:rowOff>38100</xdr:rowOff>
                  </from>
                  <to>
                    <xdr:col>2</xdr:col>
                    <xdr:colOff>133350</xdr:colOff>
                    <xdr:row>42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6">
    <tablePart r:id="rId5"/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FF0D5-7E09-46CF-B57F-F583F4C6AF61}">
  <sheetPr codeName="Hoja1"/>
  <dimension ref="A1:X50"/>
  <sheetViews>
    <sheetView showGridLines="0" zoomScale="85" zoomScaleNormal="85" workbookViewId="0">
      <selection activeCell="B3" sqref="B3"/>
    </sheetView>
  </sheetViews>
  <sheetFormatPr baseColWidth="10" defaultColWidth="11.42578125" defaultRowHeight="15" customHeight="1" x14ac:dyDescent="0.25"/>
  <cols>
    <col min="1" max="1" width="16.7109375" style="12" customWidth="1"/>
    <col min="2" max="2" width="17.7109375" style="3" customWidth="1"/>
    <col min="3" max="3" width="2.7109375" style="1" customWidth="1"/>
    <col min="4" max="4" width="11.42578125" style="1"/>
    <col min="5" max="5" width="19.7109375" style="1" customWidth="1"/>
    <col min="6" max="6" width="8.85546875" style="1" customWidth="1"/>
    <col min="7" max="7" width="11.42578125" style="1"/>
    <col min="8" max="8" width="17.42578125" style="1" customWidth="1"/>
    <col min="9" max="9" width="2.7109375" style="1" customWidth="1"/>
    <col min="10" max="10" width="36.7109375" customWidth="1"/>
    <col min="11" max="11" width="8.7109375" style="2" customWidth="1"/>
    <col min="12" max="12" width="2.7109375" style="1" customWidth="1"/>
    <col min="13" max="13" width="11.42578125" style="1" bestFit="1" customWidth="1"/>
    <col min="14" max="14" width="13.42578125" style="1" bestFit="1" customWidth="1"/>
    <col min="15" max="15" width="14.42578125" style="1" bestFit="1" customWidth="1"/>
    <col min="16" max="16" width="16.85546875" style="1" bestFit="1" customWidth="1"/>
    <col min="17" max="17" width="17.140625" style="1" bestFit="1" customWidth="1"/>
    <col min="18" max="18" width="15.5703125" style="1" bestFit="1" customWidth="1"/>
    <col min="19" max="19" width="15.42578125" style="1" bestFit="1" customWidth="1"/>
    <col min="20" max="20" width="13.5703125" style="1" bestFit="1" customWidth="1"/>
    <col min="21" max="24" width="8.7109375" style="1" bestFit="1" customWidth="1"/>
    <col min="25" max="16384" width="11.42578125" style="1"/>
  </cols>
  <sheetData>
    <row r="1" spans="1:24" ht="15" customHeight="1" x14ac:dyDescent="0.25">
      <c r="A1" s="44" t="s">
        <v>37</v>
      </c>
      <c r="B1" s="44"/>
      <c r="J1" t="s">
        <v>0</v>
      </c>
      <c r="K1" s="2" t="s">
        <v>98</v>
      </c>
      <c r="M1" s="40" t="s">
        <v>35</v>
      </c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</row>
    <row r="2" spans="1:24" ht="15" customHeight="1" thickBot="1" x14ac:dyDescent="0.3">
      <c r="A2" s="16"/>
      <c r="J2" t="s">
        <v>60</v>
      </c>
      <c r="M2" t="s">
        <v>36</v>
      </c>
      <c r="N2" t="s">
        <v>41</v>
      </c>
      <c r="O2" t="s">
        <v>42</v>
      </c>
      <c r="P2" t="s">
        <v>43</v>
      </c>
      <c r="Q2" t="s">
        <v>44</v>
      </c>
      <c r="R2" t="s">
        <v>45</v>
      </c>
      <c r="S2" t="s">
        <v>46</v>
      </c>
      <c r="T2" t="s">
        <v>47</v>
      </c>
      <c r="U2" t="s">
        <v>48</v>
      </c>
      <c r="V2" t="s">
        <v>49</v>
      </c>
      <c r="W2" t="s">
        <v>50</v>
      </c>
      <c r="X2" t="s">
        <v>51</v>
      </c>
    </row>
    <row r="3" spans="1:24" ht="15" customHeight="1" thickBot="1" x14ac:dyDescent="0.3">
      <c r="A3" s="17" t="s">
        <v>75</v>
      </c>
      <c r="B3" s="8"/>
      <c r="J3" t="s">
        <v>61</v>
      </c>
      <c r="M3" t="str">
        <f>IF(LEN(B16)&gt;0,B16,"")</f>
        <v/>
      </c>
      <c r="N3" t="str">
        <f>IF(LEN(B17)&gt;0,B17,"")</f>
        <v/>
      </c>
      <c r="O3" s="22" t="str">
        <f>IF(LEN(B18)&gt;0,B18,"")</f>
        <v/>
      </c>
      <c r="P3" s="22" t="str">
        <f>IF(LEN(B9)&gt;0,B9,"")</f>
        <v/>
      </c>
      <c r="Q3" s="22" t="str">
        <f>IF(LEN(B10)&gt;0,B10,"")</f>
        <v/>
      </c>
      <c r="R3" s="22" t="str">
        <f>IF(LEN(B12)&gt;0,B12,"")</f>
        <v/>
      </c>
      <c r="S3" s="32" t="str">
        <f>IF(LEN(B14)&gt;0,B14,"")</f>
        <v/>
      </c>
      <c r="T3" s="22"/>
      <c r="U3" s="22" t="str">
        <f>IF(OR(B20="",B20=0),"",B20)</f>
        <v/>
      </c>
      <c r="V3" s="22" t="str">
        <f>IF(OR(B21="",B21=0),"",B21)</f>
        <v/>
      </c>
      <c r="W3" s="22" t="str">
        <f>IF(OR(B22="",B22=0),"",B22)</f>
        <v/>
      </c>
      <c r="X3" s="22" t="str">
        <f>IF(OR(B23="",B23=0),"",B23)</f>
        <v/>
      </c>
    </row>
    <row r="4" spans="1:24" ht="15" customHeight="1" thickBot="1" x14ac:dyDescent="0.3">
      <c r="A4" s="16"/>
      <c r="J4" t="s">
        <v>62</v>
      </c>
      <c r="O4" s="3"/>
      <c r="P4" s="3"/>
      <c r="Q4" s="4"/>
      <c r="R4" s="3"/>
      <c r="S4" s="20"/>
      <c r="T4" s="3"/>
      <c r="U4" s="3"/>
      <c r="V4" s="3"/>
      <c r="W4" s="3"/>
      <c r="X4" s="3"/>
    </row>
    <row r="5" spans="1:24" ht="15" customHeight="1" x14ac:dyDescent="0.25">
      <c r="A5" s="13" t="s">
        <v>38</v>
      </c>
      <c r="B5" s="18"/>
      <c r="J5" t="s">
        <v>63</v>
      </c>
      <c r="M5" s="44" t="s">
        <v>101</v>
      </c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</row>
    <row r="6" spans="1:24" ht="15" customHeight="1" x14ac:dyDescent="0.25">
      <c r="A6" s="14" t="s">
        <v>39</v>
      </c>
      <c r="B6" s="5"/>
      <c r="F6" s="47"/>
      <c r="J6" t="s">
        <v>64</v>
      </c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</row>
    <row r="7" spans="1:24" ht="15" customHeight="1" thickBot="1" x14ac:dyDescent="0.3">
      <c r="A7" s="15" t="s">
        <v>40</v>
      </c>
      <c r="B7" s="6"/>
      <c r="F7" s="47"/>
      <c r="J7" t="s">
        <v>6</v>
      </c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</row>
    <row r="8" spans="1:24" ht="15" customHeight="1" thickBot="1" x14ac:dyDescent="0.3">
      <c r="A8" s="16"/>
      <c r="B8" s="4"/>
      <c r="F8" s="47"/>
      <c r="J8" t="s">
        <v>7</v>
      </c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</row>
    <row r="9" spans="1:24" ht="15" customHeight="1" x14ac:dyDescent="0.25">
      <c r="A9" s="13" t="s">
        <v>52</v>
      </c>
      <c r="B9" s="7"/>
      <c r="J9" t="s">
        <v>8</v>
      </c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</row>
    <row r="10" spans="1:24" ht="15" customHeight="1" thickBot="1" x14ac:dyDescent="0.3">
      <c r="A10" s="15" t="s">
        <v>53</v>
      </c>
      <c r="B10" s="6"/>
      <c r="D10" s="47"/>
      <c r="H10" s="47"/>
      <c r="J10" t="s">
        <v>34</v>
      </c>
      <c r="K10" s="28" t="e">
        <f>SUBTOTAL(101,Tabla1[Columna1])</f>
        <v>#DIV/0!</v>
      </c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</row>
    <row r="11" spans="1:24" ht="15" customHeight="1" thickBot="1" x14ac:dyDescent="0.3">
      <c r="A11" s="16"/>
      <c r="D11" s="47"/>
      <c r="H11" s="47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1:24" ht="15" customHeight="1" thickBot="1" x14ac:dyDescent="0.3">
      <c r="A12" s="17" t="s">
        <v>45</v>
      </c>
      <c r="B12" s="8"/>
      <c r="D12" s="47"/>
      <c r="F12" s="47"/>
      <c r="H12" s="47"/>
      <c r="J12" t="s">
        <v>9</v>
      </c>
      <c r="K12" s="2" t="s">
        <v>98</v>
      </c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1:24" ht="15" customHeight="1" thickBot="1" x14ac:dyDescent="0.3">
      <c r="A13" s="16"/>
      <c r="F13" s="47"/>
      <c r="J13" t="s">
        <v>65</v>
      </c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1:24" ht="15" customHeight="1" thickBot="1" x14ac:dyDescent="0.3">
      <c r="A14" s="17" t="s">
        <v>46</v>
      </c>
      <c r="B14" s="26" t="str">
        <f>IF(COUNT(K10,K19,K29,K35,K42)&gt;0,AVERAGE(K10,K19,K29,K35,K42),"")</f>
        <v/>
      </c>
      <c r="F14" s="47"/>
      <c r="J14" t="s">
        <v>11</v>
      </c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1:24" ht="15" customHeight="1" thickBot="1" x14ac:dyDescent="0.3">
      <c r="A15" s="16"/>
      <c r="J15" t="s">
        <v>66</v>
      </c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1:24" ht="15" customHeight="1" x14ac:dyDescent="0.25">
      <c r="A16" s="13" t="s">
        <v>36</v>
      </c>
      <c r="B16" s="7"/>
      <c r="J16" t="s">
        <v>67</v>
      </c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1:24" ht="15" customHeight="1" x14ac:dyDescent="0.25">
      <c r="A17" s="14" t="s">
        <v>41</v>
      </c>
      <c r="B17" s="9"/>
      <c r="D17" s="47"/>
      <c r="H17" s="47"/>
      <c r="J17" t="s">
        <v>14</v>
      </c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1:24" ht="15" customHeight="1" thickBot="1" x14ac:dyDescent="0.3">
      <c r="A18" s="15" t="s">
        <v>54</v>
      </c>
      <c r="B18" s="10"/>
      <c r="D18" s="47"/>
      <c r="H18" s="47"/>
      <c r="J18" t="s">
        <v>15</v>
      </c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1:24" ht="15" customHeight="1" thickBot="1" x14ac:dyDescent="0.3">
      <c r="A19" s="16"/>
      <c r="D19" s="47"/>
      <c r="H19" s="47"/>
      <c r="J19" t="s">
        <v>34</v>
      </c>
      <c r="K19" s="28" t="e">
        <f>SUBTOTAL(101,Tabla2[Columna1])</f>
        <v>#DIV/0!</v>
      </c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1:24" ht="15" customHeight="1" x14ac:dyDescent="0.25">
      <c r="A20" s="13" t="s">
        <v>55</v>
      </c>
      <c r="B20" s="7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1:24" ht="15" customHeight="1" x14ac:dyDescent="0.25">
      <c r="A21" s="14" t="s">
        <v>56</v>
      </c>
      <c r="B21" s="9"/>
      <c r="F21" s="47"/>
      <c r="J21" t="s">
        <v>16</v>
      </c>
      <c r="K21" s="2" t="s">
        <v>98</v>
      </c>
    </row>
    <row r="22" spans="1:24" ht="15" customHeight="1" x14ac:dyDescent="0.25">
      <c r="A22" s="14" t="s">
        <v>57</v>
      </c>
      <c r="B22" s="9"/>
      <c r="F22" s="47"/>
      <c r="J22" t="s">
        <v>17</v>
      </c>
    </row>
    <row r="23" spans="1:24" ht="15" customHeight="1" thickBot="1" x14ac:dyDescent="0.3">
      <c r="A23" s="15" t="s">
        <v>58</v>
      </c>
      <c r="B23" s="10"/>
      <c r="F23" s="47"/>
      <c r="J23" t="s">
        <v>69</v>
      </c>
    </row>
    <row r="24" spans="1:24" ht="15" customHeight="1" thickBot="1" x14ac:dyDescent="0.3">
      <c r="A24" s="19"/>
      <c r="J24" t="s">
        <v>19</v>
      </c>
    </row>
    <row r="25" spans="1:24" ht="15" customHeight="1" thickBot="1" x14ac:dyDescent="0.3">
      <c r="A25" s="17" t="s">
        <v>70</v>
      </c>
      <c r="B25" s="11"/>
      <c r="J25" t="s">
        <v>20</v>
      </c>
    </row>
    <row r="26" spans="1:24" ht="15" customHeight="1" thickBot="1" x14ac:dyDescent="0.3">
      <c r="J26" t="s">
        <v>21</v>
      </c>
    </row>
    <row r="27" spans="1:24" ht="15" customHeight="1" x14ac:dyDescent="0.25">
      <c r="A27" s="42" t="s">
        <v>77</v>
      </c>
      <c r="B27" s="43"/>
      <c r="J27" t="s">
        <v>68</v>
      </c>
    </row>
    <row r="28" spans="1:24" ht="15" customHeight="1" x14ac:dyDescent="0.25">
      <c r="A28" s="33" t="s">
        <v>78</v>
      </c>
      <c r="B28" s="34" t="s">
        <v>73</v>
      </c>
      <c r="D28" s="47"/>
      <c r="E28" s="47"/>
      <c r="F28" s="47"/>
      <c r="G28" s="47"/>
      <c r="H28" s="47"/>
      <c r="J28" t="s">
        <v>23</v>
      </c>
    </row>
    <row r="29" spans="1:24" ht="15" customHeight="1" x14ac:dyDescent="0.25">
      <c r="A29" s="33" t="s">
        <v>79</v>
      </c>
      <c r="B29" s="34" t="s">
        <v>87</v>
      </c>
      <c r="D29" s="47"/>
      <c r="E29" s="47"/>
      <c r="F29" s="47"/>
      <c r="G29" s="47"/>
      <c r="H29" s="47"/>
      <c r="J29" t="s">
        <v>34</v>
      </c>
      <c r="K29" s="28" t="e">
        <f>SUBTOTAL(101,Tabla3[Columna1])</f>
        <v>#DIV/0!</v>
      </c>
    </row>
    <row r="30" spans="1:24" ht="15" customHeight="1" x14ac:dyDescent="0.25">
      <c r="A30" s="33" t="s">
        <v>95</v>
      </c>
      <c r="B30" s="34" t="s">
        <v>88</v>
      </c>
      <c r="D30" s="47"/>
      <c r="E30" s="47"/>
      <c r="F30" s="47"/>
      <c r="G30" s="47"/>
      <c r="H30" s="47"/>
    </row>
    <row r="31" spans="1:24" ht="15" customHeight="1" x14ac:dyDescent="0.25">
      <c r="A31" s="33" t="s">
        <v>80</v>
      </c>
      <c r="B31" s="34" t="s">
        <v>76</v>
      </c>
      <c r="D31" s="30"/>
      <c r="E31" s="30"/>
      <c r="G31" s="30"/>
      <c r="H31" s="30"/>
      <c r="J31" t="s">
        <v>24</v>
      </c>
      <c r="K31" s="2" t="s">
        <v>98</v>
      </c>
    </row>
    <row r="32" spans="1:24" ht="15" customHeight="1" x14ac:dyDescent="0.25">
      <c r="A32" s="33" t="s">
        <v>81</v>
      </c>
      <c r="B32" s="34" t="s">
        <v>89</v>
      </c>
      <c r="J32" t="s">
        <v>25</v>
      </c>
    </row>
    <row r="33" spans="1:11" ht="15" customHeight="1" x14ac:dyDescent="0.25">
      <c r="A33" s="33" t="s">
        <v>96</v>
      </c>
      <c r="B33" s="34" t="s">
        <v>90</v>
      </c>
      <c r="J33" t="s">
        <v>26</v>
      </c>
    </row>
    <row r="34" spans="1:11" ht="15" customHeight="1" x14ac:dyDescent="0.25">
      <c r="A34" s="33" t="s">
        <v>82</v>
      </c>
      <c r="B34" s="34" t="s">
        <v>91</v>
      </c>
      <c r="F34" s="47"/>
      <c r="J34" t="s">
        <v>27</v>
      </c>
    </row>
    <row r="35" spans="1:11" ht="15" customHeight="1" x14ac:dyDescent="0.25">
      <c r="A35" s="33" t="s">
        <v>83</v>
      </c>
      <c r="B35" s="34" t="s">
        <v>92</v>
      </c>
      <c r="F35" s="47"/>
      <c r="J35" t="s">
        <v>34</v>
      </c>
      <c r="K35" s="28" t="e">
        <f>SUBTOTAL(101,Tabla4[Columna1])</f>
        <v>#DIV/0!</v>
      </c>
    </row>
    <row r="36" spans="1:11" ht="15" customHeight="1" x14ac:dyDescent="0.25">
      <c r="A36" s="33" t="s">
        <v>84</v>
      </c>
      <c r="B36" s="34" t="s">
        <v>93</v>
      </c>
      <c r="F36" s="47"/>
    </row>
    <row r="37" spans="1:11" ht="15" customHeight="1" x14ac:dyDescent="0.25">
      <c r="A37" s="33" t="s">
        <v>85</v>
      </c>
      <c r="B37" s="34" t="s">
        <v>94</v>
      </c>
      <c r="J37" t="s">
        <v>28</v>
      </c>
      <c r="K37" s="2" t="s">
        <v>98</v>
      </c>
    </row>
    <row r="38" spans="1:11" ht="15" customHeight="1" thickBot="1" x14ac:dyDescent="0.3">
      <c r="A38" s="35" t="s">
        <v>86</v>
      </c>
      <c r="B38" s="36" t="s">
        <v>74</v>
      </c>
      <c r="J38" t="s">
        <v>29</v>
      </c>
    </row>
    <row r="39" spans="1:11" ht="15" customHeight="1" thickBot="1" x14ac:dyDescent="0.3">
      <c r="A39" s="1"/>
      <c r="D39" s="12"/>
      <c r="E39" s="12"/>
      <c r="F39" s="12"/>
      <c r="G39" s="12"/>
      <c r="H39" s="31"/>
      <c r="J39" t="s">
        <v>30</v>
      </c>
    </row>
    <row r="40" spans="1:11" ht="15" customHeight="1" thickBot="1" x14ac:dyDescent="0.3">
      <c r="A40" s="17" t="s">
        <v>97</v>
      </c>
      <c r="B40" s="49"/>
      <c r="D40" s="12" t="str">
        <f>IF(OR($B$18&gt;=2007,$B$18&lt;=2021),"SIN DEFINIR","")</f>
        <v>SIN DEFINIR</v>
      </c>
      <c r="E40" s="12" t="str">
        <f>IF($B$18=2007,"SENIOR",
IF(OR($B$18=2008,$B$18=2009,$B$18=2010),"JUVENIL A",
IF(OR($B$18=2011,$B$18=2012),"CADETE A",
IF(OR($B$18=2013,$B$18=2014),"INFANTIL A",
IF(OR($B$18=2015,$B$18=2016),"ALEVIN A",
IF(OR($B$18=2017,$B$18=2018),"BENJAMIN A",
IF(OR($B$18=2019,$B$18=2020,$B$18=2021),"PREBENJAMIN A","")))))))</f>
        <v/>
      </c>
      <c r="F40" s="12" t="str">
        <f>IF(OR($B$18=2008,$B$18=2009,$B$18=2010),"JUVENIL B",
IF(OR($B$18=2011,$B$18=2012),"CADETE B",
IF(OR($B$18=2013,$B$18=2014),"INFANTIL B",
IF(OR($B$18=2015,$B$18=2016),"ALEVIN B",
IF(OR($B$18=2017,$B$18=2018),"BENJAMIN B",
IF(OR($B$18=2019,$B$18=2020,$B$18=2021),"PREBENJAMIN B",""))))))</f>
        <v/>
      </c>
      <c r="G40" s="12" t="str">
        <f>IF(OR($B$18=2008,$B$18=2009,$B$18=2010),"JUVENIL C",
IF(OR($B$18=2011,$B$18=2012),"CADETE C",
IF(OR($B$18=2013,$B$18=2014),"INFANTIL C",
IF(OR($B$18=2015,$B$18=2016),"ALEVIN C",
IF(OR($B$18=2017,$B$18=2018),"BENJAMIN C",
IF(OR($B$18=2019,$B$18=2020,$B$18=2021),"PREBENJAMIN C",""))))))</f>
        <v/>
      </c>
      <c r="H40" s="31"/>
      <c r="J40" t="s">
        <v>31</v>
      </c>
    </row>
    <row r="41" spans="1:11" ht="15" customHeight="1" x14ac:dyDescent="0.25">
      <c r="A41" s="1"/>
      <c r="D41" s="12"/>
      <c r="E41" s="12"/>
      <c r="F41" s="12"/>
      <c r="G41" s="12"/>
      <c r="H41" s="31"/>
      <c r="J41" t="s">
        <v>32</v>
      </c>
    </row>
    <row r="42" spans="1:11" ht="15" customHeight="1" x14ac:dyDescent="0.25">
      <c r="A42" s="1"/>
      <c r="D42" s="31"/>
      <c r="E42" s="31"/>
      <c r="F42" s="31"/>
      <c r="G42" s="31"/>
      <c r="H42" s="31"/>
      <c r="J42" t="s">
        <v>34</v>
      </c>
      <c r="K42" s="28" t="e">
        <f>SUBTOTAL(101,Tabla5[Columna1])</f>
        <v>#DIV/0!</v>
      </c>
    </row>
    <row r="43" spans="1:11" ht="15" customHeight="1" x14ac:dyDescent="0.25">
      <c r="A43" s="1"/>
      <c r="D43" s="31"/>
      <c r="E43" s="31"/>
      <c r="F43" s="31"/>
      <c r="G43" s="31"/>
      <c r="H43" s="31"/>
    </row>
    <row r="44" spans="1:11" ht="15" customHeight="1" x14ac:dyDescent="0.25">
      <c r="A44" s="1"/>
    </row>
    <row r="45" spans="1:11" ht="15" customHeight="1" x14ac:dyDescent="0.25">
      <c r="A45" s="1"/>
    </row>
    <row r="46" spans="1:11" ht="15" customHeight="1" x14ac:dyDescent="0.25">
      <c r="A46" s="1"/>
    </row>
    <row r="47" spans="1:11" ht="15" customHeight="1" x14ac:dyDescent="0.25">
      <c r="A47" s="1"/>
    </row>
    <row r="48" spans="1:11" ht="15" customHeight="1" x14ac:dyDescent="0.25">
      <c r="A48" s="1"/>
    </row>
    <row r="49" spans="1:1" ht="15" customHeight="1" x14ac:dyDescent="0.25">
      <c r="A49" s="1"/>
    </row>
    <row r="50" spans="1:1" ht="15" customHeight="1" x14ac:dyDescent="0.25">
      <c r="A50" s="1"/>
    </row>
  </sheetData>
  <sheetProtection sheet="1" formatCells="0"/>
  <mergeCells count="5">
    <mergeCell ref="A1:B1"/>
    <mergeCell ref="M1:X1"/>
    <mergeCell ref="M5:X5"/>
    <mergeCell ref="M6:X20"/>
    <mergeCell ref="A27:B27"/>
  </mergeCells>
  <conditionalFormatting sqref="B40">
    <cfRule type="cellIs" dxfId="11" priority="1" operator="equal">
      <formula>"FICHAR"</formula>
    </cfRule>
    <cfRule type="cellIs" dxfId="10" priority="2" operator="equal">
      <formula>"SEGUIR"</formula>
    </cfRule>
    <cfRule type="cellIs" dxfId="9" priority="3" operator="equal">
      <formula>"PRIO. BAJA"</formula>
    </cfRule>
    <cfRule type="cellIs" dxfId="8" priority="4" operator="equal">
      <formula>"DESCARTAR"</formula>
    </cfRule>
  </conditionalFormatting>
  <dataValidations count="1">
    <dataValidation type="list" allowBlank="1" showInputMessage="1" showErrorMessage="1" sqref="B40" xr:uid="{DD945F54-A674-4608-AFE2-D139391E1D5E}">
      <formula1>$D$40:$G$40</formula1>
    </dataValidation>
  </dataValidations>
  <pageMargins left="0.7" right="0.7" top="0.75" bottom="0.75" header="0.3" footer="0.3"/>
  <drawing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703EF-A7EE-4136-9786-C54E74CC2369}">
  <sheetPr codeName="Hoja3"/>
  <dimension ref="A1:X44"/>
  <sheetViews>
    <sheetView showGridLines="0" zoomScale="85" zoomScaleNormal="85" workbookViewId="0">
      <selection activeCell="B40" sqref="B40"/>
    </sheetView>
  </sheetViews>
  <sheetFormatPr baseColWidth="10" defaultColWidth="11.42578125" defaultRowHeight="15" customHeight="1" x14ac:dyDescent="0.25"/>
  <cols>
    <col min="1" max="1" width="16.7109375" style="12" customWidth="1"/>
    <col min="2" max="2" width="17.7109375" style="3" customWidth="1"/>
    <col min="3" max="3" width="2.7109375" style="1" customWidth="1"/>
    <col min="4" max="4" width="11.42578125" style="1"/>
    <col min="5" max="5" width="18.42578125" style="1" customWidth="1"/>
    <col min="6" max="6" width="10.140625" style="1" customWidth="1"/>
    <col min="7" max="7" width="11.42578125" style="1"/>
    <col min="8" max="8" width="16.85546875" style="1" customWidth="1"/>
    <col min="9" max="9" width="2.7109375" style="1" customWidth="1"/>
    <col min="10" max="10" width="36.7109375" customWidth="1"/>
    <col min="11" max="11" width="8.7109375" style="2" customWidth="1"/>
    <col min="12" max="12" width="2.7109375" style="1" customWidth="1"/>
    <col min="13" max="13" width="11.28515625" style="1" bestFit="1" customWidth="1"/>
    <col min="14" max="14" width="13.28515625" style="1" bestFit="1" customWidth="1"/>
    <col min="15" max="15" width="14.42578125" style="1" bestFit="1" customWidth="1"/>
    <col min="16" max="16" width="8.140625" style="1" bestFit="1" customWidth="1"/>
    <col min="17" max="17" width="10.28515625" style="1" bestFit="1" customWidth="1"/>
    <col min="18" max="18" width="15.5703125" style="1" bestFit="1" customWidth="1"/>
    <col min="19" max="19" width="15.28515625" style="1" bestFit="1" customWidth="1"/>
    <col min="20" max="20" width="13.5703125" style="1" bestFit="1" customWidth="1"/>
    <col min="21" max="24" width="8.42578125" style="1" bestFit="1" customWidth="1"/>
    <col min="25" max="16384" width="11.42578125" style="1"/>
  </cols>
  <sheetData>
    <row r="1" spans="1:24" ht="15" customHeight="1" x14ac:dyDescent="0.25">
      <c r="A1" s="44" t="s">
        <v>37</v>
      </c>
      <c r="B1" s="44"/>
      <c r="J1" t="s">
        <v>0</v>
      </c>
      <c r="K1" s="2" t="s">
        <v>33</v>
      </c>
      <c r="M1" s="40" t="s">
        <v>35</v>
      </c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</row>
    <row r="2" spans="1:24" ht="15" customHeight="1" thickBot="1" x14ac:dyDescent="0.3">
      <c r="A2" s="16"/>
      <c r="J2" t="s">
        <v>1</v>
      </c>
      <c r="M2" t="s">
        <v>36</v>
      </c>
      <c r="N2" t="s">
        <v>41</v>
      </c>
      <c r="O2" t="s">
        <v>42</v>
      </c>
      <c r="P2" t="s">
        <v>43</v>
      </c>
      <c r="Q2" t="s">
        <v>44</v>
      </c>
      <c r="R2" t="s">
        <v>45</v>
      </c>
      <c r="S2" t="s">
        <v>46</v>
      </c>
      <c r="T2" t="s">
        <v>47</v>
      </c>
      <c r="U2" t="s">
        <v>48</v>
      </c>
      <c r="V2" t="s">
        <v>49</v>
      </c>
      <c r="W2" t="s">
        <v>50</v>
      </c>
      <c r="X2" t="s">
        <v>51</v>
      </c>
    </row>
    <row r="3" spans="1:24" ht="15" customHeight="1" thickBot="1" x14ac:dyDescent="0.3">
      <c r="A3" s="17" t="s">
        <v>75</v>
      </c>
      <c r="B3" s="8"/>
      <c r="J3" t="s">
        <v>2</v>
      </c>
      <c r="M3" t="str">
        <f>IF(LEN('INFORME 1'!B16)&gt;0,'INFORME 1'!B16,"")</f>
        <v/>
      </c>
      <c r="N3" t="str">
        <f>IF(LEN('INFORME 1'!B17)&gt;0,'INFORME 1'!B17,"")</f>
        <v/>
      </c>
      <c r="O3" s="22" t="str">
        <f>IF(LEN('INFORME 1'!B18)&gt;0,'INFORME 1'!B18,"")</f>
        <v/>
      </c>
      <c r="P3" s="22" t="str">
        <f>IF(LEN('INFORME 1'!B9)&gt;0,'INFORME 1'!B9,"")</f>
        <v/>
      </c>
      <c r="Q3" s="22" t="str">
        <f>IF(LEN('INFORME 1'!B10)&gt;0,'INFORME 1'!B10,"")</f>
        <v/>
      </c>
      <c r="R3" s="22" t="str">
        <f>IF(LEN('INFORME 1'!B12)&gt;0,'INFORME 1'!B12,"")</f>
        <v/>
      </c>
      <c r="S3" s="32" t="str">
        <f>GLOBAL!B12</f>
        <v/>
      </c>
      <c r="T3" s="22"/>
      <c r="U3" s="22" t="str">
        <f>IF(OR(B14="",B14=0),"",B14)</f>
        <v/>
      </c>
      <c r="V3" s="22" t="str">
        <f>IF(OR(B15="",B15=0),"",B15)</f>
        <v/>
      </c>
      <c r="W3" s="22" t="str">
        <f>IF(OR(B16="",B16=0),"",B16)</f>
        <v/>
      </c>
      <c r="X3" s="22" t="str">
        <f>IF(OR(B17="",B17=0),"",B17)</f>
        <v/>
      </c>
    </row>
    <row r="4" spans="1:24" ht="15" customHeight="1" thickBot="1" x14ac:dyDescent="0.3">
      <c r="A4" s="16"/>
      <c r="J4" t="s">
        <v>3</v>
      </c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ht="15" customHeight="1" x14ac:dyDescent="0.25">
      <c r="A5" s="13" t="s">
        <v>38</v>
      </c>
      <c r="B5" s="18"/>
      <c r="J5" t="s">
        <v>4</v>
      </c>
      <c r="M5" s="44" t="s">
        <v>102</v>
      </c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</row>
    <row r="6" spans="1:24" ht="15" customHeight="1" x14ac:dyDescent="0.25">
      <c r="A6" s="14" t="s">
        <v>39</v>
      </c>
      <c r="B6" s="5"/>
      <c r="F6" s="47"/>
      <c r="J6" t="s">
        <v>5</v>
      </c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</row>
    <row r="7" spans="1:24" ht="15" customHeight="1" thickBot="1" x14ac:dyDescent="0.3">
      <c r="A7" s="15" t="s">
        <v>40</v>
      </c>
      <c r="B7" s="6"/>
      <c r="F7" s="47"/>
      <c r="J7" t="s">
        <v>6</v>
      </c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</row>
    <row r="8" spans="1:24" ht="15" customHeight="1" thickBot="1" x14ac:dyDescent="0.3">
      <c r="A8" s="16"/>
      <c r="B8" s="4"/>
      <c r="F8" s="47"/>
      <c r="J8" t="s">
        <v>7</v>
      </c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</row>
    <row r="9" spans="1:24" ht="15" customHeight="1" x14ac:dyDescent="0.25">
      <c r="A9" s="13" t="s">
        <v>52</v>
      </c>
      <c r="B9" s="7"/>
      <c r="J9" t="s">
        <v>8</v>
      </c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</row>
    <row r="10" spans="1:24" ht="15" customHeight="1" thickBot="1" x14ac:dyDescent="0.3">
      <c r="A10" s="15" t="s">
        <v>53</v>
      </c>
      <c r="B10" s="6"/>
      <c r="D10" s="47"/>
      <c r="H10" s="47"/>
      <c r="J10" t="s">
        <v>34</v>
      </c>
      <c r="K10" s="28" t="e">
        <f>SUBTOTAL(101,Tabla126[NOTA])</f>
        <v>#DIV/0!</v>
      </c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</row>
    <row r="11" spans="1:24" ht="15" customHeight="1" thickBot="1" x14ac:dyDescent="0.3">
      <c r="A11" s="16"/>
      <c r="D11" s="47"/>
      <c r="H11" s="47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</row>
    <row r="12" spans="1:24" ht="15" customHeight="1" thickBot="1" x14ac:dyDescent="0.3">
      <c r="A12" s="17" t="s">
        <v>46</v>
      </c>
      <c r="B12" s="11" t="str">
        <f>IF(COUNT(K10,K19,K29,K35,K42)&gt;0,AVERAGE(K10,K19,K29,K35,K42),"")</f>
        <v/>
      </c>
      <c r="D12" s="47"/>
      <c r="F12" s="47"/>
      <c r="H12" s="47"/>
      <c r="J12" t="s">
        <v>9</v>
      </c>
      <c r="K12" s="2" t="s">
        <v>33</v>
      </c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</row>
    <row r="13" spans="1:24" ht="15" customHeight="1" thickBot="1" x14ac:dyDescent="0.3">
      <c r="A13" s="16"/>
      <c r="F13" s="47"/>
      <c r="J13" t="s">
        <v>10</v>
      </c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</row>
    <row r="14" spans="1:24" ht="15" customHeight="1" x14ac:dyDescent="0.25">
      <c r="A14" s="13" t="s">
        <v>55</v>
      </c>
      <c r="B14" s="7"/>
      <c r="F14" s="47"/>
      <c r="J14" t="s">
        <v>11</v>
      </c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</row>
    <row r="15" spans="1:24" ht="15" customHeight="1" x14ac:dyDescent="0.25">
      <c r="A15" s="14" t="s">
        <v>56</v>
      </c>
      <c r="B15" s="9"/>
      <c r="J15" t="s">
        <v>12</v>
      </c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</row>
    <row r="16" spans="1:24" ht="15" customHeight="1" x14ac:dyDescent="0.25">
      <c r="A16" s="14" t="s">
        <v>57</v>
      </c>
      <c r="B16" s="9"/>
      <c r="J16" t="s">
        <v>13</v>
      </c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</row>
    <row r="17" spans="1:24" ht="15" customHeight="1" thickBot="1" x14ac:dyDescent="0.3">
      <c r="A17" s="15" t="s">
        <v>58</v>
      </c>
      <c r="B17" s="10"/>
      <c r="D17" s="47"/>
      <c r="H17" s="47"/>
      <c r="J17" t="s">
        <v>14</v>
      </c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</row>
    <row r="18" spans="1:24" ht="15" customHeight="1" thickBot="1" x14ac:dyDescent="0.3">
      <c r="A18"/>
      <c r="D18" s="47"/>
      <c r="H18" s="47"/>
      <c r="J18" t="s">
        <v>15</v>
      </c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</row>
    <row r="19" spans="1:24" ht="15" customHeight="1" thickBot="1" x14ac:dyDescent="0.3">
      <c r="A19" s="17" t="s">
        <v>70</v>
      </c>
      <c r="B19" s="11"/>
      <c r="D19" s="47"/>
      <c r="H19" s="47"/>
      <c r="J19" t="s">
        <v>34</v>
      </c>
      <c r="K19" s="28" t="e">
        <f>SUBTOTAL(101,Tabla227[NOTA])</f>
        <v>#DIV/0!</v>
      </c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</row>
    <row r="20" spans="1:24" ht="15" customHeight="1" x14ac:dyDescent="0.25">
      <c r="A20" s="1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</row>
    <row r="21" spans="1:24" ht="15" customHeight="1" x14ac:dyDescent="0.25">
      <c r="F21" s="47"/>
      <c r="J21" t="s">
        <v>16</v>
      </c>
      <c r="K21" s="2" t="s">
        <v>33</v>
      </c>
    </row>
    <row r="22" spans="1:24" ht="15" customHeight="1" x14ac:dyDescent="0.25">
      <c r="F22" s="47"/>
      <c r="J22" t="s">
        <v>17</v>
      </c>
    </row>
    <row r="23" spans="1:24" ht="15" customHeight="1" x14ac:dyDescent="0.25">
      <c r="F23" s="47"/>
      <c r="J23" t="s">
        <v>18</v>
      </c>
    </row>
    <row r="24" spans="1:24" ht="15" customHeight="1" x14ac:dyDescent="0.25">
      <c r="J24" t="s">
        <v>19</v>
      </c>
    </row>
    <row r="25" spans="1:24" ht="15" customHeight="1" thickBot="1" x14ac:dyDescent="0.3">
      <c r="J25" t="s">
        <v>20</v>
      </c>
    </row>
    <row r="26" spans="1:24" ht="15" customHeight="1" x14ac:dyDescent="0.25">
      <c r="A26" s="42" t="s">
        <v>77</v>
      </c>
      <c r="B26" s="43"/>
      <c r="J26" t="s">
        <v>21</v>
      </c>
    </row>
    <row r="27" spans="1:24" ht="15" customHeight="1" x14ac:dyDescent="0.25">
      <c r="A27" s="33" t="s">
        <v>78</v>
      </c>
      <c r="B27" s="34" t="s">
        <v>73</v>
      </c>
      <c r="J27" t="s">
        <v>22</v>
      </c>
    </row>
    <row r="28" spans="1:24" ht="15" customHeight="1" x14ac:dyDescent="0.25">
      <c r="A28" s="33" t="s">
        <v>79</v>
      </c>
      <c r="B28" s="34" t="s">
        <v>87</v>
      </c>
      <c r="D28" s="47"/>
      <c r="E28" s="47"/>
      <c r="F28" s="47"/>
      <c r="G28" s="47"/>
      <c r="H28" s="47"/>
      <c r="J28" t="s">
        <v>23</v>
      </c>
    </row>
    <row r="29" spans="1:24" ht="15" customHeight="1" x14ac:dyDescent="0.25">
      <c r="A29" s="33" t="s">
        <v>95</v>
      </c>
      <c r="B29" s="34" t="s">
        <v>88</v>
      </c>
      <c r="D29" s="47"/>
      <c r="E29" s="47"/>
      <c r="F29" s="47"/>
      <c r="G29" s="47"/>
      <c r="H29" s="47"/>
      <c r="J29" t="s">
        <v>34</v>
      </c>
      <c r="K29" s="28" t="e">
        <f>SUBTOTAL(101,Tabla328[NOTA])</f>
        <v>#DIV/0!</v>
      </c>
    </row>
    <row r="30" spans="1:24" ht="15" customHeight="1" x14ac:dyDescent="0.25">
      <c r="A30" s="33" t="s">
        <v>80</v>
      </c>
      <c r="B30" s="34" t="s">
        <v>76</v>
      </c>
      <c r="D30" s="47"/>
      <c r="E30" s="47"/>
      <c r="F30" s="47"/>
      <c r="G30" s="47"/>
      <c r="H30" s="47"/>
    </row>
    <row r="31" spans="1:24" ht="15" customHeight="1" x14ac:dyDescent="0.25">
      <c r="A31" s="33" t="s">
        <v>81</v>
      </c>
      <c r="B31" s="34" t="s">
        <v>89</v>
      </c>
      <c r="E31" s="30"/>
      <c r="G31" s="30"/>
      <c r="J31" t="s">
        <v>24</v>
      </c>
      <c r="K31" s="2" t="s">
        <v>33</v>
      </c>
    </row>
    <row r="32" spans="1:24" ht="15" customHeight="1" x14ac:dyDescent="0.25">
      <c r="A32" s="33" t="s">
        <v>96</v>
      </c>
      <c r="B32" s="34" t="s">
        <v>90</v>
      </c>
      <c r="J32" t="s">
        <v>25</v>
      </c>
    </row>
    <row r="33" spans="1:11" ht="15" customHeight="1" x14ac:dyDescent="0.25">
      <c r="A33" s="33" t="s">
        <v>82</v>
      </c>
      <c r="B33" s="34" t="s">
        <v>91</v>
      </c>
      <c r="J33" t="s">
        <v>26</v>
      </c>
    </row>
    <row r="34" spans="1:11" ht="15" customHeight="1" x14ac:dyDescent="0.25">
      <c r="A34" s="33" t="s">
        <v>83</v>
      </c>
      <c r="B34" s="34" t="s">
        <v>92</v>
      </c>
      <c r="F34" s="47"/>
      <c r="J34" t="s">
        <v>27</v>
      </c>
    </row>
    <row r="35" spans="1:11" ht="15" customHeight="1" x14ac:dyDescent="0.25">
      <c r="A35" s="33" t="s">
        <v>84</v>
      </c>
      <c r="B35" s="34" t="s">
        <v>93</v>
      </c>
      <c r="F35" s="47"/>
      <c r="J35" t="s">
        <v>34</v>
      </c>
      <c r="K35" s="28" t="e">
        <f>SUBTOTAL(101,Tabla429[NOTA])</f>
        <v>#DIV/0!</v>
      </c>
    </row>
    <row r="36" spans="1:11" ht="15" customHeight="1" x14ac:dyDescent="0.25">
      <c r="A36" s="33" t="s">
        <v>85</v>
      </c>
      <c r="B36" s="34" t="s">
        <v>94</v>
      </c>
      <c r="F36" s="47"/>
    </row>
    <row r="37" spans="1:11" ht="15" customHeight="1" thickBot="1" x14ac:dyDescent="0.3">
      <c r="A37" s="35" t="s">
        <v>86</v>
      </c>
      <c r="B37" s="36" t="s">
        <v>74</v>
      </c>
      <c r="J37" t="s">
        <v>28</v>
      </c>
      <c r="K37" s="2" t="s">
        <v>33</v>
      </c>
    </row>
    <row r="38" spans="1:11" ht="15" customHeight="1" x14ac:dyDescent="0.25">
      <c r="J38" t="s">
        <v>29</v>
      </c>
    </row>
    <row r="39" spans="1:11" ht="15" customHeight="1" thickBot="1" x14ac:dyDescent="0.3">
      <c r="D39" s="12"/>
      <c r="E39" s="12"/>
      <c r="F39" s="12"/>
      <c r="G39" s="12"/>
      <c r="H39" s="31"/>
      <c r="J39" t="s">
        <v>30</v>
      </c>
    </row>
    <row r="40" spans="1:11" ht="15" customHeight="1" thickBot="1" x14ac:dyDescent="0.3">
      <c r="A40" s="17" t="s">
        <v>97</v>
      </c>
      <c r="B40" s="49" t="s">
        <v>100</v>
      </c>
      <c r="D40" s="12" t="str">
        <f>IF(OR('INFORME 1'!$B$18&gt;=2007,'INFORME 1'!$B$18&lt;=2021),"SIN DEFINIR","")</f>
        <v>SIN DEFINIR</v>
      </c>
      <c r="E40" s="12" t="str">
        <f>IF('INFORME 1'!$B$18=2007,"SENIOR A",
IF(OR('INFORME 1'!$B$18=2008,'INFORME 1'!$B$18=2009,'INFORME 1'!$B$18=2010),"JUVENIL A",
IF(OR('INFORME 1'!$B$18=2011,'INFORME 1'!$B$18=2012),"CADETE A",
IF(OR('INFORME 1'!$B$18=2013,'INFORME 1'!$B$18=2014),"INFANTIL A",
IF(OR('INFORME 1'!$B$18=2015,'INFORME 1'!$B$18=2016),"ALEVIN A",
IF(OR('INFORME 1'!$B$18=2017,'INFORME 1'!$B$18=2018),"BENJAMIN A",
IF(OR('INFORME 1'!$B$18=2019,'INFORME 1'!$B$18=2020,'INFORME 1'!$B$18=2021),"PREBENJAMIN A","")))))))</f>
        <v/>
      </c>
      <c r="F40" s="12" t="str">
        <f>IF('INFORME 1'!$B$18=2007,"SENIOR B",
IF(OR('INFORME 1'!$B$18=2008,'INFORME 1'!$B$18=2009,'INFORME 1'!$B$18=2010),"JUVENIL B",
IF(OR('INFORME 1'!$B$18=2011,'INFORME 1'!$B$18=2012),"CADETE B",
IF(OR('INFORME 1'!$B$18=2013,'INFORME 1'!$B$18=2014),"INFANTIL B",
IF(OR('INFORME 1'!$B$18=2015,'INFORME 1'!$B$18=2016),"ALEVIN B",
IF(OR('INFORME 1'!$B$18=2017,'INFORME 1'!$B$18=2018),"BENJAMIN B",
IF(OR('INFORME 1'!$B$18=2019,'INFORME 1'!$B$18=2020,'INFORME 1'!$B$18=2021),"PREBENJAMIN B","")))))))</f>
        <v/>
      </c>
      <c r="G40" s="12" t="str">
        <f>IF('INFORME 1'!$B$18=2007,"SENIOR C",
IF(OR('INFORME 1'!$B$18=2008,'INFORME 1'!$B$18=2009,'INFORME 1'!$B$18=2010),"JUVENIL C",
IF(OR('INFORME 1'!$B$18=2011,'INFORME 1'!$B$18=2012),"CADETE C",
IF(OR('INFORME 1'!$B$18=2013,'INFORME 1'!$B$18=2014),"INFANTIL C",
IF(OR('INFORME 1'!$B$18=2015,'INFORME 1'!$B$18=2016),"ALEVIN C",
IF(OR('INFORME 1'!$B$18=2017,'INFORME 1'!$B$18=2018),"BENJAMIN C",
IF(OR('INFORME 1'!$B$18=2019,'INFORME 1'!$B$18=2020,'INFORME 1'!$B$18=2021),"PREBENJAMIN C","")))))))</f>
        <v/>
      </c>
      <c r="H40" s="31"/>
      <c r="J40" t="s">
        <v>31</v>
      </c>
    </row>
    <row r="41" spans="1:11" ht="15" customHeight="1" x14ac:dyDescent="0.25">
      <c r="D41" s="12"/>
      <c r="E41" s="12"/>
      <c r="F41" s="12"/>
      <c r="G41" s="12"/>
      <c r="H41" s="31"/>
      <c r="J41" t="s">
        <v>32</v>
      </c>
    </row>
    <row r="42" spans="1:11" ht="15" customHeight="1" x14ac:dyDescent="0.25">
      <c r="D42" s="31"/>
      <c r="E42" s="31"/>
      <c r="F42" s="31"/>
      <c r="G42" s="31"/>
      <c r="H42" s="31"/>
      <c r="J42" t="s">
        <v>34</v>
      </c>
      <c r="K42" s="28" t="e">
        <f>SUBTOTAL(101,Tabla530[NOTA])</f>
        <v>#DIV/0!</v>
      </c>
    </row>
    <row r="43" spans="1:11" ht="15" customHeight="1" x14ac:dyDescent="0.25">
      <c r="D43" s="31"/>
      <c r="E43" s="31"/>
      <c r="F43" s="31"/>
      <c r="G43" s="31"/>
      <c r="H43" s="31"/>
    </row>
    <row r="44" spans="1:11" ht="15" customHeight="1" x14ac:dyDescent="0.25">
      <c r="D44" s="31"/>
      <c r="E44" s="31"/>
      <c r="F44" s="31"/>
      <c r="G44" s="31"/>
      <c r="H44" s="31"/>
    </row>
  </sheetData>
  <sheetProtection sheet="1" scenarios="1" formatCells="0"/>
  <mergeCells count="5">
    <mergeCell ref="A1:B1"/>
    <mergeCell ref="M1:X1"/>
    <mergeCell ref="M5:X5"/>
    <mergeCell ref="M6:X20"/>
    <mergeCell ref="A26:B26"/>
  </mergeCells>
  <conditionalFormatting sqref="B40">
    <cfRule type="cellIs" dxfId="7" priority="1" operator="equal">
      <formula>"FICHAR"</formula>
    </cfRule>
    <cfRule type="cellIs" dxfId="6" priority="2" operator="equal">
      <formula>"SEGUIR"</formula>
    </cfRule>
    <cfRule type="cellIs" dxfId="5" priority="3" operator="equal">
      <formula>"PRIO. BAJA"</formula>
    </cfRule>
    <cfRule type="cellIs" dxfId="4" priority="4" operator="equal">
      <formula>"DESCARTAR"</formula>
    </cfRule>
  </conditionalFormatting>
  <dataValidations count="1">
    <dataValidation type="list" allowBlank="1" showInputMessage="1" showErrorMessage="1" sqref="B40" xr:uid="{874E5F0B-0168-4D8F-8FD4-BADECF97B773}">
      <formula1>$D$40:$G$40</formula1>
    </dataValidation>
  </dataValidations>
  <pageMargins left="0.7" right="0.7" top="0.75" bottom="0.75" header="0.3" footer="0.3"/>
  <drawing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4810A-E613-4A23-9789-3FE158BC3301}">
  <sheetPr codeName="Hoja4"/>
  <dimension ref="A1:X43"/>
  <sheetViews>
    <sheetView showGridLines="0" topLeftCell="A11" zoomScale="85" zoomScaleNormal="85" workbookViewId="0">
      <selection activeCell="B40" sqref="B40"/>
    </sheetView>
  </sheetViews>
  <sheetFormatPr baseColWidth="10" defaultColWidth="11.42578125" defaultRowHeight="15" customHeight="1" x14ac:dyDescent="0.25"/>
  <cols>
    <col min="1" max="1" width="16.7109375" style="12" bestFit="1" customWidth="1"/>
    <col min="2" max="2" width="17.7109375" style="3" customWidth="1"/>
    <col min="3" max="3" width="2.7109375" style="1" customWidth="1"/>
    <col min="4" max="4" width="11.42578125" style="1"/>
    <col min="5" max="5" width="17.85546875" style="1" customWidth="1"/>
    <col min="6" max="7" width="11.42578125" style="1"/>
    <col min="8" max="8" width="16.42578125" style="1" customWidth="1"/>
    <col min="9" max="9" width="2.7109375" style="1" customWidth="1"/>
    <col min="10" max="10" width="36.7109375" customWidth="1"/>
    <col min="11" max="11" width="8.7109375" style="2" customWidth="1"/>
    <col min="12" max="12" width="2.7109375" style="1" customWidth="1"/>
    <col min="13" max="13" width="11.28515625" style="1" bestFit="1" customWidth="1"/>
    <col min="14" max="14" width="13.28515625" style="1" bestFit="1" customWidth="1"/>
    <col min="15" max="15" width="14.42578125" style="1" bestFit="1" customWidth="1"/>
    <col min="16" max="16" width="8.140625" style="1" bestFit="1" customWidth="1"/>
    <col min="17" max="17" width="10.28515625" style="1" bestFit="1" customWidth="1"/>
    <col min="18" max="18" width="15.5703125" style="1" bestFit="1" customWidth="1"/>
    <col min="19" max="19" width="15.28515625" style="1" bestFit="1" customWidth="1"/>
    <col min="20" max="20" width="13.5703125" style="1" bestFit="1" customWidth="1"/>
    <col min="21" max="24" width="8.42578125" style="1" bestFit="1" customWidth="1"/>
    <col min="25" max="16384" width="11.42578125" style="1"/>
  </cols>
  <sheetData>
    <row r="1" spans="1:24" ht="15" customHeight="1" x14ac:dyDescent="0.25">
      <c r="A1" s="44" t="s">
        <v>37</v>
      </c>
      <c r="B1" s="44"/>
      <c r="J1" t="s">
        <v>0</v>
      </c>
      <c r="K1" s="2" t="s">
        <v>33</v>
      </c>
      <c r="M1" s="40" t="s">
        <v>35</v>
      </c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</row>
    <row r="2" spans="1:24" ht="15" customHeight="1" thickBot="1" x14ac:dyDescent="0.3">
      <c r="A2" s="16"/>
      <c r="J2" t="s">
        <v>1</v>
      </c>
      <c r="M2" t="s">
        <v>36</v>
      </c>
      <c r="N2" t="s">
        <v>41</v>
      </c>
      <c r="O2" t="s">
        <v>42</v>
      </c>
      <c r="P2" t="s">
        <v>43</v>
      </c>
      <c r="Q2" t="s">
        <v>44</v>
      </c>
      <c r="R2" t="s">
        <v>45</v>
      </c>
      <c r="S2" t="s">
        <v>46</v>
      </c>
      <c r="T2" t="s">
        <v>47</v>
      </c>
      <c r="U2" t="s">
        <v>48</v>
      </c>
      <c r="V2" t="s">
        <v>49</v>
      </c>
      <c r="W2" t="s">
        <v>50</v>
      </c>
      <c r="X2" t="s">
        <v>51</v>
      </c>
    </row>
    <row r="3" spans="1:24" ht="15" customHeight="1" thickBot="1" x14ac:dyDescent="0.3">
      <c r="A3" s="17" t="s">
        <v>75</v>
      </c>
      <c r="B3" s="8"/>
      <c r="J3" t="s">
        <v>2</v>
      </c>
      <c r="M3" t="str">
        <f>IF(LEN('INFORME 1'!B16)&gt;0,'INFORME 1'!B16,"")</f>
        <v/>
      </c>
      <c r="N3" t="str">
        <f>IF(LEN('INFORME 1'!B17)&gt;0,'INFORME 1'!B17,"")</f>
        <v/>
      </c>
      <c r="O3" s="22" t="str">
        <f>IF(LEN('INFORME 1'!B18)&gt;0,'INFORME 1'!B18,"")</f>
        <v/>
      </c>
      <c r="P3" s="22" t="str">
        <f>IF(LEN('INFORME 1'!B9)&gt;0,'INFORME 1'!B9,"")</f>
        <v/>
      </c>
      <c r="Q3" s="22" t="str">
        <f>IF(LEN('INFORME 1'!B10)&gt;0,'INFORME 1'!B10,"")</f>
        <v/>
      </c>
      <c r="R3" s="22" t="str">
        <f>IF(LEN('INFORME 1'!B12)&gt;0,'INFORME 1'!B12,"")</f>
        <v/>
      </c>
      <c r="S3" s="32" t="str">
        <f>GLOBAL!B12</f>
        <v/>
      </c>
      <c r="T3" s="22"/>
      <c r="U3" s="22" t="str">
        <f>IF(OR(B14="",B14=0),"",B14)</f>
        <v/>
      </c>
      <c r="V3" s="22" t="str">
        <f>IF(OR(B15="",B15=0),"",B15)</f>
        <v/>
      </c>
      <c r="W3" s="22" t="str">
        <f>IF(OR(B16="",B16=0),"",B16)</f>
        <v/>
      </c>
      <c r="X3" s="22" t="str">
        <f>IF(OR(B17="",B17=0),"",B17)</f>
        <v/>
      </c>
    </row>
    <row r="4" spans="1:24" ht="15" customHeight="1" thickBot="1" x14ac:dyDescent="0.3">
      <c r="A4" s="16"/>
      <c r="J4" t="s">
        <v>3</v>
      </c>
    </row>
    <row r="5" spans="1:24" ht="15" customHeight="1" x14ac:dyDescent="0.25">
      <c r="A5" s="13" t="s">
        <v>38</v>
      </c>
      <c r="B5" s="18"/>
      <c r="J5" t="s">
        <v>4</v>
      </c>
      <c r="M5" s="44" t="s">
        <v>102</v>
      </c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</row>
    <row r="6" spans="1:24" ht="15" customHeight="1" x14ac:dyDescent="0.25">
      <c r="A6" s="14" t="s">
        <v>39</v>
      </c>
      <c r="B6" s="5"/>
      <c r="F6" s="47"/>
      <c r="J6" t="s">
        <v>5</v>
      </c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</row>
    <row r="7" spans="1:24" ht="15" customHeight="1" thickBot="1" x14ac:dyDescent="0.3">
      <c r="A7" s="15" t="s">
        <v>40</v>
      </c>
      <c r="B7" s="6"/>
      <c r="F7" s="47"/>
      <c r="J7" t="s">
        <v>6</v>
      </c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</row>
    <row r="8" spans="1:24" ht="15" customHeight="1" thickBot="1" x14ac:dyDescent="0.3">
      <c r="A8" s="16"/>
      <c r="B8" s="4"/>
      <c r="F8" s="47"/>
      <c r="J8" t="s">
        <v>7</v>
      </c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</row>
    <row r="9" spans="1:24" ht="15" customHeight="1" x14ac:dyDescent="0.25">
      <c r="A9" s="13" t="s">
        <v>52</v>
      </c>
      <c r="B9" s="7"/>
      <c r="J9" t="s">
        <v>8</v>
      </c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</row>
    <row r="10" spans="1:24" ht="15" customHeight="1" thickBot="1" x14ac:dyDescent="0.3">
      <c r="A10" s="15" t="s">
        <v>53</v>
      </c>
      <c r="B10" s="6"/>
      <c r="D10" s="47"/>
      <c r="H10" s="47"/>
      <c r="J10" t="s">
        <v>34</v>
      </c>
      <c r="K10" s="28" t="e">
        <f>SUBTOTAL(101,Tabla132[NOTA])</f>
        <v>#DIV/0!</v>
      </c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</row>
    <row r="11" spans="1:24" ht="15" customHeight="1" thickBot="1" x14ac:dyDescent="0.3">
      <c r="A11" s="16"/>
      <c r="D11" s="47"/>
      <c r="H11" s="47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</row>
    <row r="12" spans="1:24" ht="15" customHeight="1" thickBot="1" x14ac:dyDescent="0.3">
      <c r="A12" s="17" t="s">
        <v>46</v>
      </c>
      <c r="B12" s="11" t="str">
        <f>IF(COUNT(K10,K19,K29,K35,K42)&gt;0,AVERAGE(K10,K19,K29,K35,K42),"")</f>
        <v/>
      </c>
      <c r="D12" s="47"/>
      <c r="F12" s="47"/>
      <c r="H12" s="47"/>
      <c r="J12" t="s">
        <v>9</v>
      </c>
      <c r="K12" s="2" t="s">
        <v>33</v>
      </c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</row>
    <row r="13" spans="1:24" ht="15" customHeight="1" thickBot="1" x14ac:dyDescent="0.3">
      <c r="A13" s="16"/>
      <c r="F13" s="47"/>
      <c r="J13" t="s">
        <v>10</v>
      </c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</row>
    <row r="14" spans="1:24" ht="15" customHeight="1" x14ac:dyDescent="0.25">
      <c r="A14" s="13" t="s">
        <v>55</v>
      </c>
      <c r="B14" s="7"/>
      <c r="F14" s="47"/>
      <c r="J14" t="s">
        <v>11</v>
      </c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</row>
    <row r="15" spans="1:24" ht="15" customHeight="1" x14ac:dyDescent="0.25">
      <c r="A15" s="14" t="s">
        <v>56</v>
      </c>
      <c r="B15" s="9"/>
      <c r="J15" t="s">
        <v>12</v>
      </c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</row>
    <row r="16" spans="1:24" ht="15" customHeight="1" x14ac:dyDescent="0.25">
      <c r="A16" s="14" t="s">
        <v>57</v>
      </c>
      <c r="B16" s="9"/>
      <c r="J16" t="s">
        <v>13</v>
      </c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</row>
    <row r="17" spans="1:24" ht="15" customHeight="1" thickBot="1" x14ac:dyDescent="0.3">
      <c r="A17" s="15" t="s">
        <v>58</v>
      </c>
      <c r="B17" s="10"/>
      <c r="D17" s="47"/>
      <c r="H17" s="47"/>
      <c r="J17" t="s">
        <v>14</v>
      </c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</row>
    <row r="18" spans="1:24" ht="15" customHeight="1" thickBot="1" x14ac:dyDescent="0.3">
      <c r="A18"/>
      <c r="D18" s="47"/>
      <c r="H18" s="47"/>
      <c r="J18" t="s">
        <v>15</v>
      </c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</row>
    <row r="19" spans="1:24" ht="15" customHeight="1" thickBot="1" x14ac:dyDescent="0.3">
      <c r="A19" s="17" t="s">
        <v>70</v>
      </c>
      <c r="B19" s="11"/>
      <c r="D19" s="47"/>
      <c r="H19" s="47"/>
      <c r="J19" t="s">
        <v>34</v>
      </c>
      <c r="K19" s="28" t="e">
        <f>SUBTOTAL(101,Tabla233[NOTA])</f>
        <v>#DIV/0!</v>
      </c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</row>
    <row r="20" spans="1:24" ht="15" customHeight="1" x14ac:dyDescent="0.25">
      <c r="A20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</row>
    <row r="21" spans="1:24" ht="15" customHeight="1" x14ac:dyDescent="0.25">
      <c r="A21"/>
      <c r="F21" s="47"/>
      <c r="J21" t="s">
        <v>16</v>
      </c>
      <c r="K21" s="2" t="s">
        <v>33</v>
      </c>
    </row>
    <row r="22" spans="1:24" ht="15" customHeight="1" x14ac:dyDescent="0.25">
      <c r="A22"/>
      <c r="F22" s="47"/>
      <c r="J22" t="s">
        <v>17</v>
      </c>
    </row>
    <row r="23" spans="1:24" ht="15" customHeight="1" x14ac:dyDescent="0.25">
      <c r="A23"/>
      <c r="F23" s="47"/>
      <c r="J23" t="s">
        <v>18</v>
      </c>
    </row>
    <row r="24" spans="1:24" ht="15" customHeight="1" x14ac:dyDescent="0.25">
      <c r="A24" s="1"/>
      <c r="J24" t="s">
        <v>19</v>
      </c>
    </row>
    <row r="25" spans="1:24" ht="15" customHeight="1" thickBot="1" x14ac:dyDescent="0.3">
      <c r="J25" t="s">
        <v>20</v>
      </c>
    </row>
    <row r="26" spans="1:24" ht="15" customHeight="1" x14ac:dyDescent="0.25">
      <c r="A26" s="42" t="s">
        <v>77</v>
      </c>
      <c r="B26" s="43"/>
      <c r="J26" t="s">
        <v>21</v>
      </c>
    </row>
    <row r="27" spans="1:24" ht="15" customHeight="1" x14ac:dyDescent="0.25">
      <c r="A27" s="33" t="s">
        <v>78</v>
      </c>
      <c r="B27" s="34" t="s">
        <v>73</v>
      </c>
      <c r="J27" t="s">
        <v>22</v>
      </c>
    </row>
    <row r="28" spans="1:24" ht="15" customHeight="1" x14ac:dyDescent="0.25">
      <c r="A28" s="33" t="s">
        <v>79</v>
      </c>
      <c r="B28" s="34" t="s">
        <v>87</v>
      </c>
      <c r="D28" s="47"/>
      <c r="E28" s="47"/>
      <c r="F28" s="47"/>
      <c r="G28" s="47"/>
      <c r="H28" s="47"/>
      <c r="J28" t="s">
        <v>23</v>
      </c>
    </row>
    <row r="29" spans="1:24" ht="15" customHeight="1" x14ac:dyDescent="0.25">
      <c r="A29" s="33" t="s">
        <v>95</v>
      </c>
      <c r="B29" s="34" t="s">
        <v>88</v>
      </c>
      <c r="D29" s="47"/>
      <c r="E29" s="47"/>
      <c r="F29" s="47"/>
      <c r="G29" s="47"/>
      <c r="H29" s="47"/>
      <c r="J29" t="s">
        <v>34</v>
      </c>
      <c r="K29" s="28" t="e">
        <f>SUBTOTAL(101,Tabla334[NOTA])</f>
        <v>#DIV/0!</v>
      </c>
    </row>
    <row r="30" spans="1:24" ht="15" customHeight="1" x14ac:dyDescent="0.25">
      <c r="A30" s="33" t="s">
        <v>80</v>
      </c>
      <c r="B30" s="34" t="s">
        <v>76</v>
      </c>
      <c r="D30" s="47"/>
      <c r="E30" s="47"/>
      <c r="F30" s="47"/>
      <c r="G30" s="47"/>
      <c r="H30" s="47"/>
    </row>
    <row r="31" spans="1:24" ht="15" customHeight="1" x14ac:dyDescent="0.25">
      <c r="A31" s="33" t="s">
        <v>81</v>
      </c>
      <c r="B31" s="34" t="s">
        <v>89</v>
      </c>
      <c r="E31" s="30"/>
      <c r="G31" s="30"/>
      <c r="J31" t="s">
        <v>24</v>
      </c>
      <c r="K31" s="2" t="s">
        <v>33</v>
      </c>
    </row>
    <row r="32" spans="1:24" ht="15" customHeight="1" x14ac:dyDescent="0.25">
      <c r="A32" s="33" t="s">
        <v>96</v>
      </c>
      <c r="B32" s="34" t="s">
        <v>90</v>
      </c>
      <c r="J32" t="s">
        <v>25</v>
      </c>
    </row>
    <row r="33" spans="1:11" ht="15" customHeight="1" x14ac:dyDescent="0.25">
      <c r="A33" s="33" t="s">
        <v>82</v>
      </c>
      <c r="B33" s="34" t="s">
        <v>91</v>
      </c>
      <c r="J33" t="s">
        <v>26</v>
      </c>
    </row>
    <row r="34" spans="1:11" ht="15" customHeight="1" x14ac:dyDescent="0.25">
      <c r="A34" s="33" t="s">
        <v>83</v>
      </c>
      <c r="B34" s="34" t="s">
        <v>92</v>
      </c>
      <c r="F34" s="47"/>
      <c r="J34" t="s">
        <v>27</v>
      </c>
    </row>
    <row r="35" spans="1:11" ht="15" customHeight="1" x14ac:dyDescent="0.25">
      <c r="A35" s="33" t="s">
        <v>84</v>
      </c>
      <c r="B35" s="34" t="s">
        <v>93</v>
      </c>
      <c r="F35" s="47"/>
      <c r="J35" t="s">
        <v>34</v>
      </c>
      <c r="K35" s="28" t="e">
        <f>SUBTOTAL(101,Tabla435[NOTA])</f>
        <v>#DIV/0!</v>
      </c>
    </row>
    <row r="36" spans="1:11" ht="15" customHeight="1" x14ac:dyDescent="0.25">
      <c r="A36" s="33" t="s">
        <v>85</v>
      </c>
      <c r="B36" s="34" t="s">
        <v>94</v>
      </c>
      <c r="F36" s="47"/>
    </row>
    <row r="37" spans="1:11" ht="15" customHeight="1" thickBot="1" x14ac:dyDescent="0.3">
      <c r="A37" s="35" t="s">
        <v>86</v>
      </c>
      <c r="B37" s="36" t="s">
        <v>74</v>
      </c>
      <c r="J37" t="s">
        <v>28</v>
      </c>
      <c r="K37" s="2" t="s">
        <v>33</v>
      </c>
    </row>
    <row r="38" spans="1:11" ht="15" customHeight="1" x14ac:dyDescent="0.25">
      <c r="J38" t="s">
        <v>29</v>
      </c>
    </row>
    <row r="39" spans="1:11" ht="15" customHeight="1" thickBot="1" x14ac:dyDescent="0.3">
      <c r="D39" s="12"/>
      <c r="E39" s="12"/>
      <c r="F39" s="12"/>
      <c r="G39" s="12"/>
      <c r="H39" s="31"/>
      <c r="J39" t="s">
        <v>30</v>
      </c>
    </row>
    <row r="40" spans="1:11" ht="15" customHeight="1" thickBot="1" x14ac:dyDescent="0.3">
      <c r="A40" s="17" t="s">
        <v>97</v>
      </c>
      <c r="B40" s="49" t="s">
        <v>100</v>
      </c>
      <c r="D40" s="12" t="str">
        <f>IF(OR('INFORME 1'!$B$18&gt;=2007,'INFORME 1'!$B$18&lt;=2021),"SIN DEFINIR","")</f>
        <v>SIN DEFINIR</v>
      </c>
      <c r="E40" s="12" t="str">
        <f>IF('INFORME 1'!$B$18=2007,"SENIOR A",
IF(OR('INFORME 1'!$B$18=2008,'INFORME 1'!$B$18=2009,'INFORME 1'!$B$18=2010),"JUVENIL A",
IF(OR('INFORME 1'!$B$18=2011,'INFORME 1'!$B$18=2012),"CADETE A",
IF(OR('INFORME 1'!$B$18=2013,'INFORME 1'!$B$18=2014),"INFANTIL A",
IF(OR('INFORME 1'!$B$18=2015,'INFORME 1'!$B$18=2016),"ALEVIN A",
IF(OR('INFORME 1'!$B$18=2017,'INFORME 1'!$B$18=2018),"BENJAMIN A",
IF(OR('INFORME 1'!$B$18=2019,'INFORME 1'!$B$18=2020,'INFORME 1'!$B$18=2021),"PREBENJAMIN A","")))))))</f>
        <v/>
      </c>
      <c r="F40" s="12" t="str">
        <f>IF('INFORME 1'!$B$18=2007,"SENIOR B",
IF(OR('INFORME 1'!$B$18=2008,'INFORME 1'!$B$18=2009,'INFORME 1'!$B$18=2010),"JUVENIL B",
IF(OR('INFORME 1'!$B$18=2011,'INFORME 1'!$B$18=2012),"CADETE B",
IF(OR('INFORME 1'!$B$18=2013,'INFORME 1'!$B$18=2014),"INFANTIL B",
IF(OR('INFORME 1'!$B$18=2015,'INFORME 1'!$B$18=2016),"ALEVIN B",
IF(OR('INFORME 1'!$B$18=2017,'INFORME 1'!$B$18=2018),"BENJAMIN B",
IF(OR('INFORME 1'!$B$18=2019,'INFORME 1'!$B$18=2020,'INFORME 1'!$B$18=2021),"PREBENJAMIN B","")))))))</f>
        <v/>
      </c>
      <c r="G40" s="12" t="str">
        <f>IF('INFORME 1'!$B$18=2007,"SENIOR C",
IF(OR('INFORME 1'!$B$18=2008,'INFORME 1'!$B$18=2009,'INFORME 1'!$B$18=2010),"JUVENIL C",
IF(OR('INFORME 1'!$B$18=2011,'INFORME 1'!$B$18=2012),"CADETE C",
IF(OR('INFORME 1'!$B$18=2013,'INFORME 1'!$B$18=2014),"INFANTIL C",
IF(OR('INFORME 1'!$B$18=2015,'INFORME 1'!$B$18=2016),"ALEVIN C",
IF(OR('INFORME 1'!$B$18=2017,'INFORME 1'!$B$18=2018),"BENJAMIN C",
IF(OR('INFORME 1'!$B$18=2019,'INFORME 1'!$B$18=2020,'INFORME 1'!$B$18=2021),"PREBENJAMIN C","")))))))</f>
        <v/>
      </c>
      <c r="H40" s="31"/>
      <c r="J40" t="s">
        <v>31</v>
      </c>
    </row>
    <row r="41" spans="1:11" ht="15" customHeight="1" x14ac:dyDescent="0.25">
      <c r="D41" s="12"/>
      <c r="E41" s="12"/>
      <c r="F41" s="12"/>
      <c r="G41" s="12"/>
      <c r="H41" s="31"/>
      <c r="J41" t="s">
        <v>32</v>
      </c>
    </row>
    <row r="42" spans="1:11" ht="15" customHeight="1" x14ac:dyDescent="0.25">
      <c r="D42" s="31"/>
      <c r="E42" s="31"/>
      <c r="F42" s="31"/>
      <c r="G42" s="31"/>
      <c r="H42" s="31"/>
      <c r="J42" t="s">
        <v>34</v>
      </c>
      <c r="K42" s="28" t="e">
        <f>SUBTOTAL(101,Tabla536[NOTA])</f>
        <v>#DIV/0!</v>
      </c>
    </row>
    <row r="43" spans="1:11" ht="15" customHeight="1" x14ac:dyDescent="0.25">
      <c r="D43" s="31"/>
      <c r="E43" s="31"/>
      <c r="F43" s="31"/>
      <c r="G43" s="31"/>
      <c r="H43" s="31"/>
    </row>
  </sheetData>
  <sheetProtection sheet="1" scenarios="1" formatCells="0"/>
  <mergeCells count="5">
    <mergeCell ref="A1:B1"/>
    <mergeCell ref="M1:X1"/>
    <mergeCell ref="M5:X5"/>
    <mergeCell ref="M6:X20"/>
    <mergeCell ref="A26:B26"/>
  </mergeCells>
  <conditionalFormatting sqref="B40">
    <cfRule type="cellIs" dxfId="3" priority="1" operator="equal">
      <formula>"FICHAR"</formula>
    </cfRule>
    <cfRule type="cellIs" dxfId="2" priority="2" operator="equal">
      <formula>"SEGUIR"</formula>
    </cfRule>
    <cfRule type="cellIs" dxfId="1" priority="3" operator="equal">
      <formula>"PRIO. BAJA"</formula>
    </cfRule>
    <cfRule type="cellIs" dxfId="0" priority="4" operator="equal">
      <formula>"DESCARTAR"</formula>
    </cfRule>
  </conditionalFormatting>
  <dataValidations count="1">
    <dataValidation type="list" allowBlank="1" showInputMessage="1" showErrorMessage="1" sqref="B40" xr:uid="{6561350E-BC51-44AE-BFD2-7E6CD72CC468}">
      <formula1>$D$40:$G$40</formula1>
    </dataValidation>
  </dataValidations>
  <pageMargins left="0.7" right="0.7" top="0.75" bottom="0.75" header="0.3" footer="0.3"/>
  <drawing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D0FD3-BFCF-4C98-BC44-38EBFE2023C9}">
  <dimension ref="A1:E13"/>
  <sheetViews>
    <sheetView zoomScale="85" zoomScaleNormal="85" workbookViewId="0">
      <selection activeCell="F11" sqref="F11"/>
    </sheetView>
  </sheetViews>
  <sheetFormatPr baseColWidth="10" defaultRowHeight="15" x14ac:dyDescent="0.25"/>
  <cols>
    <col min="1" max="1" width="19.5703125" customWidth="1"/>
    <col min="2" max="2" width="12.140625" customWidth="1"/>
    <col min="4" max="5" width="12.140625" customWidth="1"/>
  </cols>
  <sheetData>
    <row r="1" spans="1:5" x14ac:dyDescent="0.25">
      <c r="A1" s="40" t="s">
        <v>103</v>
      </c>
      <c r="B1" s="40"/>
      <c r="D1" s="40" t="s">
        <v>45</v>
      </c>
      <c r="E1" s="40"/>
    </row>
    <row r="2" spans="1:5" x14ac:dyDescent="0.25">
      <c r="A2" t="s">
        <v>115</v>
      </c>
      <c r="B2" t="s">
        <v>116</v>
      </c>
      <c r="D2" t="s">
        <v>45</v>
      </c>
      <c r="E2" t="s">
        <v>116</v>
      </c>
    </row>
    <row r="3" spans="1:5" x14ac:dyDescent="0.25">
      <c r="A3" t="s">
        <v>78</v>
      </c>
      <c r="B3" t="s">
        <v>73</v>
      </c>
      <c r="D3" t="s">
        <v>109</v>
      </c>
      <c r="E3" t="s">
        <v>112</v>
      </c>
    </row>
    <row r="4" spans="1:5" x14ac:dyDescent="0.25">
      <c r="A4" t="s">
        <v>79</v>
      </c>
      <c r="B4" t="s">
        <v>87</v>
      </c>
      <c r="D4" t="s">
        <v>110</v>
      </c>
      <c r="E4" t="s">
        <v>113</v>
      </c>
    </row>
    <row r="5" spans="1:5" x14ac:dyDescent="0.25">
      <c r="A5" t="s">
        <v>104</v>
      </c>
      <c r="B5" t="s">
        <v>88</v>
      </c>
      <c r="D5" t="s">
        <v>111</v>
      </c>
      <c r="E5" t="s">
        <v>114</v>
      </c>
    </row>
    <row r="6" spans="1:5" x14ac:dyDescent="0.25">
      <c r="A6" t="s">
        <v>80</v>
      </c>
      <c r="B6" t="s">
        <v>76</v>
      </c>
    </row>
    <row r="7" spans="1:5" x14ac:dyDescent="0.25">
      <c r="A7" t="s">
        <v>81</v>
      </c>
      <c r="B7" t="s">
        <v>89</v>
      </c>
    </row>
    <row r="8" spans="1:5" x14ac:dyDescent="0.25">
      <c r="A8" t="s">
        <v>83</v>
      </c>
      <c r="B8" t="s">
        <v>92</v>
      </c>
    </row>
    <row r="9" spans="1:5" x14ac:dyDescent="0.25">
      <c r="A9" t="s">
        <v>105</v>
      </c>
      <c r="B9" t="s">
        <v>90</v>
      </c>
    </row>
    <row r="10" spans="1:5" x14ac:dyDescent="0.25">
      <c r="A10" t="s">
        <v>106</v>
      </c>
      <c r="B10" t="s">
        <v>91</v>
      </c>
    </row>
    <row r="11" spans="1:5" x14ac:dyDescent="0.25">
      <c r="A11" t="s">
        <v>107</v>
      </c>
      <c r="B11" t="s">
        <v>93</v>
      </c>
    </row>
    <row r="12" spans="1:5" x14ac:dyDescent="0.25">
      <c r="A12" t="s">
        <v>108</v>
      </c>
      <c r="B12" t="s">
        <v>94</v>
      </c>
    </row>
    <row r="13" spans="1:5" x14ac:dyDescent="0.25">
      <c r="A13" t="s">
        <v>86</v>
      </c>
      <c r="B13" t="s">
        <v>74</v>
      </c>
    </row>
  </sheetData>
  <sheetProtection sheet="1" objects="1" scenarios="1"/>
  <mergeCells count="2">
    <mergeCell ref="D1:E1"/>
    <mergeCell ref="A1:B1"/>
  </mergeCells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GLOBAL</vt:lpstr>
      <vt:lpstr>INFORME 1</vt:lpstr>
      <vt:lpstr>INFORME 2</vt:lpstr>
      <vt:lpstr>COORDINACION</vt:lpstr>
      <vt:lpstr>LEYENDAS DE 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Perez</dc:creator>
  <cp:lastModifiedBy>Jorge Perez</cp:lastModifiedBy>
  <cp:lastPrinted>2026-01-08T14:45:47Z</cp:lastPrinted>
  <dcterms:created xsi:type="dcterms:W3CDTF">2026-01-07T15:59:40Z</dcterms:created>
  <dcterms:modified xsi:type="dcterms:W3CDTF">2026-02-04T09:43:06Z</dcterms:modified>
</cp:coreProperties>
</file>